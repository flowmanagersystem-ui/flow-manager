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zf4-my.sharepoint.com/personal/johnison_swzf4_onmicrosoft_com/Documents/TCC/TCC I/Etapa Mineração/Etapa Mineração V1.0/04_avaliacao_modelos/"/>
    </mc:Choice>
  </mc:AlternateContent>
  <xr:revisionPtr revIDLastSave="450" documentId="8_{FD1496FC-CA58-42B2-A3C4-FFFFEF1ABAA3}" xr6:coauthVersionLast="47" xr6:coauthVersionMax="47" xr10:uidLastSave="{044BFCE3-BCA9-4E19-9CA0-269DD596C94E}"/>
  <bookViews>
    <workbookView xWindow="-120" yWindow="-120" windowWidth="29040" windowHeight="15840" xr2:uid="{2829BDD1-13B8-4B5B-8387-F7BC2EB35A3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C22" i="1" s="1"/>
  <c r="B21" i="1"/>
  <c r="C21" i="1" s="1"/>
  <c r="B20" i="1"/>
  <c r="C20" i="1" s="1"/>
</calcChain>
</file>

<file path=xl/sharedStrings.xml><?xml version="1.0" encoding="utf-8"?>
<sst xmlns="http://schemas.openxmlformats.org/spreadsheetml/2006/main" count="130" uniqueCount="40">
  <si>
    <t>Modelo</t>
  </si>
  <si>
    <t>Observações</t>
  </si>
  <si>
    <t>ChatGPT</t>
  </si>
  <si>
    <t>Claude</t>
  </si>
  <si>
    <t>DeepSeek</t>
  </si>
  <si>
    <t>Priorização dos
RF de agendamento</t>
  </si>
  <si>
    <t>Qtd. RF.</t>
  </si>
  <si>
    <t>Qtd RNF.</t>
  </si>
  <si>
    <t>Formato OK</t>
  </si>
  <si>
    <t>Redundância</t>
  </si>
  <si>
    <t>Classificação OK</t>
  </si>
  <si>
    <t>Sim</t>
  </si>
  <si>
    <t>Não</t>
  </si>
  <si>
    <t>Parcial</t>
  </si>
  <si>
    <t>Apesar de ter sido realizada a priorização não foi inserido a categoria do RF.</t>
  </si>
  <si>
    <t>Descrições dos Requisitos muito breves.</t>
  </si>
  <si>
    <t>Apesar de ter sido realizada a priorização não foi inserido a categoria do RF. Descrições dos Requisitos muito breves.</t>
  </si>
  <si>
    <t>Score = (Priorização * 2) + Formato + Redundância + Classificação</t>
  </si>
  <si>
    <t>Score</t>
  </si>
  <si>
    <t>Priorização RF</t>
  </si>
  <si>
    <t>Média Final Por Modelo</t>
  </si>
  <si>
    <t>Média</t>
  </si>
  <si>
    <t>Total Pontos</t>
  </si>
  <si>
    <t>Trabalho</t>
  </si>
  <si>
    <t>Beauty System</t>
  </si>
  <si>
    <t>BeautyApp</t>
  </si>
  <si>
    <t>BeleSys</t>
  </si>
  <si>
    <t>Sistema KALON</t>
  </si>
  <si>
    <t>Spaço da Beleza</t>
  </si>
  <si>
    <t>Apesar de ter sido realizada a priorização não foi inserido a categoria do RF. Descrições dos Requisitos muito breves.  Os RNF05, RNF06, RNF07 na verdade são RFs.</t>
  </si>
  <si>
    <t>Apesar de ter sido realizada a priorização não foi inserido a categoria do RF. Descrições dos Requisitos muito breves. Os RF22, RF23 e o RNF10 errados. Já o RNF06 é um RF.</t>
  </si>
  <si>
    <t>Apesar de ter sido realizada a priorização não foi inserido a categoria do RF. Descrições dos Requisitos muito breves. RNF06 errado.</t>
  </si>
  <si>
    <t>Bem Estruturado. Os RNF01, RNF02, RNF03, RNF05 e RNF06 estão errados. Houve erro na classificação do RNF04.</t>
  </si>
  <si>
    <t>Bem Estruturado.  Os RNF05, RNF06, RNF07, RNF08 e RNF09 estão errados.</t>
  </si>
  <si>
    <t>Bem Estruturado. OS RNF03, RNF04 e RNF08 estão errados. Os RNF01 e o RNF07 estão duplicados.</t>
  </si>
  <si>
    <t>Bem Estruturado. O RF06 está errado. Os RNF03, RNF04 e RNF06 estão incorretos. O RNF08 foi classificado errado.</t>
  </si>
  <si>
    <t>Bem Estruturado. O RNF09 está errado.</t>
  </si>
  <si>
    <t>Apesar de ter sido realizada a priorização não foi inserido as categorias dos RFs. Os RNF04, RNF05 e RNF06 estão incorretos.</t>
  </si>
  <si>
    <t>Os RNF03 e RNF04 estão errados. O RNF05 está classificado errado.</t>
  </si>
  <si>
    <t>Apesar de ter sido realizada a priorização não foi inserido a categoria do RF. Os RF21, RF22, RF23, RF24, RF25 e os RNF05, RNF06, RNF07 e RNF08 estão incorretos.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</si>
</sst>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E9E97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4" borderId="2" xfId="0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6" borderId="2" xfId="0" applyFill="1" applyBorder="1"/>
    <xf numFmtId="0" fontId="0" fillId="5" borderId="2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0" fillId="4" borderId="2" xfId="0" applyFill="1" applyBorder="1" applyAlignment="1">
      <alignment horizontal="left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9E9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718A0D-A431-4CA8-A3B6-A9A9515409D8}" name="Tabela2" displayName="Tabela2" ref="A1:J16" totalsRowShown="0" headerRowDxfId="11" dataDxfId="10">
  <autoFilter ref="A1:J16" xr:uid="{B4718A0D-A431-4CA8-A3B6-A9A9515409D8}"/>
  <tableColumns count="10">
    <tableColumn id="1" xr3:uid="{DCEAF4CF-7E19-4275-BDD3-E8C5D38CD821}" name="Trabalho" dataDxfId="9"/>
    <tableColumn id="2" xr3:uid="{A7CE4711-B5A1-4B03-B48A-D1BE5573C967}" name="Modelo" dataDxfId="8"/>
    <tableColumn id="3" xr3:uid="{3D7E174C-5EB8-48D8-8549-35D927AF537E}" name="Qtd. RF." dataDxfId="7"/>
    <tableColumn id="4" xr3:uid="{B1A00996-E639-4E26-9864-D94565EDBD47}" name="Qtd RNF." dataDxfId="6"/>
    <tableColumn id="5" xr3:uid="{A963B68F-230A-4D1F-BD58-1F87A66026BF}" name="Priorização dos_x000a_RF de agendamento" dataDxfId="5"/>
    <tableColumn id="6" xr3:uid="{6887DD01-D088-49CA-8BEC-63455E0060CE}" name="Formato OK" dataDxfId="4"/>
    <tableColumn id="7" xr3:uid="{D1DD04B2-030D-4589-A66E-3CC6BEB76BFD}" name="Redundância" dataDxfId="3"/>
    <tableColumn id="8" xr3:uid="{9AC56EE1-2717-4EE4-8972-14A098B90C4C}" name="Classificação OK" dataDxfId="2"/>
    <tableColumn id="9" xr3:uid="{8F509968-8BD2-4FB4-B054-70EB447551EA}" name="Observações" dataDxfId="1"/>
    <tableColumn id="10" xr3:uid="{509B682E-D1CE-497C-B330-397171EC2ED8}" name="Scor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5ED9F-F7BA-48C9-AB0F-0E151549BB7F}">
  <dimension ref="A1:J29"/>
  <sheetViews>
    <sheetView tabSelected="1" workbookViewId="0">
      <selection activeCell="F23" sqref="F23"/>
    </sheetView>
  </sheetViews>
  <sheetFormatPr defaultRowHeight="15" x14ac:dyDescent="0.25"/>
  <cols>
    <col min="1" max="1" width="19.42578125" customWidth="1"/>
    <col min="2" max="2" width="19.85546875" customWidth="1"/>
    <col min="3" max="3" width="17" customWidth="1"/>
    <col min="4" max="4" width="17.28515625" customWidth="1"/>
    <col min="5" max="5" width="23.7109375" customWidth="1"/>
    <col min="6" max="6" width="20.140625" customWidth="1"/>
    <col min="7" max="7" width="19.85546875" customWidth="1"/>
    <col min="8" max="8" width="21.140625" customWidth="1"/>
    <col min="9" max="9" width="39.5703125" customWidth="1"/>
    <col min="10" max="10" width="14.42578125" customWidth="1"/>
  </cols>
  <sheetData>
    <row r="1" spans="1:10" s="1" customFormat="1" ht="30" customHeight="1" x14ac:dyDescent="0.25">
      <c r="A1" s="1" t="s">
        <v>23</v>
      </c>
      <c r="B1" s="1" t="s">
        <v>0</v>
      </c>
      <c r="C1" s="1" t="s">
        <v>6</v>
      </c>
      <c r="D1" s="1" t="s">
        <v>7</v>
      </c>
      <c r="E1" s="2" t="s">
        <v>5</v>
      </c>
      <c r="F1" s="1" t="s">
        <v>8</v>
      </c>
      <c r="G1" s="1" t="s">
        <v>9</v>
      </c>
      <c r="H1" s="1" t="s">
        <v>10</v>
      </c>
      <c r="I1" s="1" t="s">
        <v>1</v>
      </c>
      <c r="J1" s="1" t="s">
        <v>18</v>
      </c>
    </row>
    <row r="2" spans="1:10" ht="45" x14ac:dyDescent="0.25">
      <c r="A2" s="3" t="s">
        <v>24</v>
      </c>
      <c r="B2" s="6" t="s">
        <v>2</v>
      </c>
      <c r="C2" s="3">
        <v>20</v>
      </c>
      <c r="D2" s="3">
        <v>7</v>
      </c>
      <c r="E2" s="4" t="s">
        <v>11</v>
      </c>
      <c r="F2" s="3" t="s">
        <v>12</v>
      </c>
      <c r="G2" s="4" t="s">
        <v>12</v>
      </c>
      <c r="H2" s="3" t="s">
        <v>11</v>
      </c>
      <c r="I2" s="5" t="s">
        <v>16</v>
      </c>
      <c r="J2" s="3">
        <v>8</v>
      </c>
    </row>
    <row r="3" spans="1:10" ht="45" x14ac:dyDescent="0.25">
      <c r="A3" s="3" t="s">
        <v>24</v>
      </c>
      <c r="B3" s="6" t="s">
        <v>3</v>
      </c>
      <c r="C3" s="3">
        <v>20</v>
      </c>
      <c r="D3" s="3">
        <v>6</v>
      </c>
      <c r="E3" s="4" t="s">
        <v>11</v>
      </c>
      <c r="F3" s="3" t="s">
        <v>11</v>
      </c>
      <c r="G3" s="3" t="s">
        <v>12</v>
      </c>
      <c r="H3" s="3" t="s">
        <v>13</v>
      </c>
      <c r="I3" s="5" t="s">
        <v>32</v>
      </c>
      <c r="J3" s="3">
        <v>9</v>
      </c>
    </row>
    <row r="4" spans="1:10" ht="45" x14ac:dyDescent="0.25">
      <c r="A4" s="3" t="s">
        <v>24</v>
      </c>
      <c r="B4" s="6" t="s">
        <v>4</v>
      </c>
      <c r="C4" s="3">
        <v>35</v>
      </c>
      <c r="D4" s="3">
        <v>6</v>
      </c>
      <c r="E4" s="3" t="s">
        <v>11</v>
      </c>
      <c r="F4" s="3" t="s">
        <v>11</v>
      </c>
      <c r="G4" s="3" t="s">
        <v>12</v>
      </c>
      <c r="H4" s="3" t="s">
        <v>11</v>
      </c>
      <c r="I4" s="5" t="s">
        <v>37</v>
      </c>
      <c r="J4" s="3">
        <v>9</v>
      </c>
    </row>
    <row r="5" spans="1:10" x14ac:dyDescent="0.25">
      <c r="A5" s="3" t="s">
        <v>25</v>
      </c>
      <c r="B5" s="6" t="s">
        <v>2</v>
      </c>
      <c r="C5" s="3">
        <v>20</v>
      </c>
      <c r="D5" s="3">
        <v>7</v>
      </c>
      <c r="E5" s="3" t="s">
        <v>12</v>
      </c>
      <c r="F5" s="3" t="s">
        <v>12</v>
      </c>
      <c r="G5" s="3" t="s">
        <v>12</v>
      </c>
      <c r="H5" s="3" t="s">
        <v>11</v>
      </c>
      <c r="I5" s="5" t="s">
        <v>15</v>
      </c>
      <c r="J5" s="3">
        <v>4</v>
      </c>
    </row>
    <row r="6" spans="1:10" ht="30" x14ac:dyDescent="0.25">
      <c r="A6" s="3" t="s">
        <v>25</v>
      </c>
      <c r="B6" s="6" t="s">
        <v>3</v>
      </c>
      <c r="C6" s="3">
        <v>24</v>
      </c>
      <c r="D6" s="3">
        <v>8</v>
      </c>
      <c r="E6" s="3" t="s">
        <v>11</v>
      </c>
      <c r="F6" s="3" t="s">
        <v>11</v>
      </c>
      <c r="G6" s="3" t="s">
        <v>12</v>
      </c>
      <c r="H6" s="3" t="s">
        <v>13</v>
      </c>
      <c r="I6" s="5" t="s">
        <v>33</v>
      </c>
      <c r="J6" s="3">
        <v>9</v>
      </c>
    </row>
    <row r="7" spans="1:10" ht="30" x14ac:dyDescent="0.25">
      <c r="A7" s="3" t="s">
        <v>25</v>
      </c>
      <c r="B7" s="6" t="s">
        <v>4</v>
      </c>
      <c r="C7" s="3">
        <v>21</v>
      </c>
      <c r="D7" s="3">
        <v>7</v>
      </c>
      <c r="E7" s="3" t="s">
        <v>12</v>
      </c>
      <c r="F7" s="3" t="s">
        <v>11</v>
      </c>
      <c r="G7" s="3" t="s">
        <v>12</v>
      </c>
      <c r="H7" s="3" t="s">
        <v>13</v>
      </c>
      <c r="I7" s="5" t="s">
        <v>38</v>
      </c>
      <c r="J7" s="3">
        <v>5</v>
      </c>
    </row>
    <row r="8" spans="1:10" ht="75" x14ac:dyDescent="0.25">
      <c r="A8" s="3" t="s">
        <v>26</v>
      </c>
      <c r="B8" s="6" t="s">
        <v>2</v>
      </c>
      <c r="C8" s="3">
        <v>15</v>
      </c>
      <c r="D8" s="3">
        <v>7</v>
      </c>
      <c r="E8" s="3" t="s">
        <v>11</v>
      </c>
      <c r="F8" s="3" t="s">
        <v>13</v>
      </c>
      <c r="G8" s="3" t="s">
        <v>12</v>
      </c>
      <c r="H8" s="3" t="s">
        <v>13</v>
      </c>
      <c r="I8" s="5" t="s">
        <v>29</v>
      </c>
      <c r="J8" s="3">
        <v>8</v>
      </c>
    </row>
    <row r="9" spans="1:10" ht="45" x14ac:dyDescent="0.25">
      <c r="A9" s="3" t="s">
        <v>26</v>
      </c>
      <c r="B9" s="6" t="s">
        <v>3</v>
      </c>
      <c r="C9" s="3">
        <v>18</v>
      </c>
      <c r="D9" s="3">
        <v>8</v>
      </c>
      <c r="E9" s="3" t="s">
        <v>11</v>
      </c>
      <c r="F9" s="3" t="s">
        <v>11</v>
      </c>
      <c r="G9" s="3" t="s">
        <v>13</v>
      </c>
      <c r="H9" s="3" t="s">
        <v>13</v>
      </c>
      <c r="I9" s="5" t="s">
        <v>34</v>
      </c>
      <c r="J9" s="3">
        <v>8</v>
      </c>
    </row>
    <row r="10" spans="1:10" ht="30" x14ac:dyDescent="0.25">
      <c r="A10" s="3" t="s">
        <v>26</v>
      </c>
      <c r="B10" s="6" t="s">
        <v>4</v>
      </c>
      <c r="C10" s="3">
        <v>15</v>
      </c>
      <c r="D10" s="3">
        <v>5</v>
      </c>
      <c r="E10" s="3" t="s">
        <v>13</v>
      </c>
      <c r="F10" s="3" t="s">
        <v>11</v>
      </c>
      <c r="G10" s="3" t="s">
        <v>12</v>
      </c>
      <c r="H10" s="3" t="s">
        <v>13</v>
      </c>
      <c r="I10" s="5" t="s">
        <v>14</v>
      </c>
      <c r="J10" s="3">
        <v>7</v>
      </c>
    </row>
    <row r="11" spans="1:10" ht="60" x14ac:dyDescent="0.25">
      <c r="A11" s="3" t="s">
        <v>28</v>
      </c>
      <c r="B11" s="6" t="s">
        <v>2</v>
      </c>
      <c r="C11" s="3">
        <v>12</v>
      </c>
      <c r="D11" s="3">
        <v>8</v>
      </c>
      <c r="E11" s="3" t="s">
        <v>11</v>
      </c>
      <c r="F11" s="3" t="s">
        <v>11</v>
      </c>
      <c r="G11" s="3" t="s">
        <v>12</v>
      </c>
      <c r="H11" s="3" t="s">
        <v>11</v>
      </c>
      <c r="I11" s="5" t="s">
        <v>31</v>
      </c>
      <c r="J11" s="3">
        <v>9</v>
      </c>
    </row>
    <row r="12" spans="1:10" ht="45" x14ac:dyDescent="0.25">
      <c r="A12" s="3" t="s">
        <v>28</v>
      </c>
      <c r="B12" s="6" t="s">
        <v>3</v>
      </c>
      <c r="C12" s="3">
        <v>24</v>
      </c>
      <c r="D12" s="3">
        <v>9</v>
      </c>
      <c r="E12" s="3" t="s">
        <v>11</v>
      </c>
      <c r="F12" s="3" t="s">
        <v>11</v>
      </c>
      <c r="G12" s="3" t="s">
        <v>12</v>
      </c>
      <c r="H12" s="3" t="s">
        <v>13</v>
      </c>
      <c r="I12" s="5" t="s">
        <v>35</v>
      </c>
      <c r="J12" s="3">
        <v>8</v>
      </c>
    </row>
    <row r="13" spans="1:10" ht="60" x14ac:dyDescent="0.25">
      <c r="A13" s="3" t="s">
        <v>28</v>
      </c>
      <c r="B13" s="6" t="s">
        <v>4</v>
      </c>
      <c r="C13" s="3">
        <v>13</v>
      </c>
      <c r="D13" s="3">
        <v>7</v>
      </c>
      <c r="E13" s="3" t="s">
        <v>11</v>
      </c>
      <c r="F13" s="3" t="s">
        <v>11</v>
      </c>
      <c r="G13" s="3" t="s">
        <v>12</v>
      </c>
      <c r="H13" s="3" t="s">
        <v>13</v>
      </c>
      <c r="I13" s="5" t="s">
        <v>39</v>
      </c>
      <c r="J13" s="3">
        <v>9</v>
      </c>
    </row>
    <row r="14" spans="1:10" ht="75" x14ac:dyDescent="0.25">
      <c r="A14" s="3" t="s">
        <v>27</v>
      </c>
      <c r="B14" s="6" t="s">
        <v>2</v>
      </c>
      <c r="C14" s="3">
        <v>23</v>
      </c>
      <c r="D14" s="3">
        <v>10</v>
      </c>
      <c r="E14" s="3" t="s">
        <v>11</v>
      </c>
      <c r="F14" s="3" t="s">
        <v>13</v>
      </c>
      <c r="G14" s="3" t="s">
        <v>12</v>
      </c>
      <c r="H14" s="3" t="s">
        <v>13</v>
      </c>
      <c r="I14" s="5" t="s">
        <v>30</v>
      </c>
      <c r="J14" s="3">
        <v>8</v>
      </c>
    </row>
    <row r="15" spans="1:10" x14ac:dyDescent="0.25">
      <c r="A15" s="3" t="s">
        <v>27</v>
      </c>
      <c r="B15" s="6" t="s">
        <v>3</v>
      </c>
      <c r="C15" s="3">
        <v>25</v>
      </c>
      <c r="D15" s="3">
        <v>10</v>
      </c>
      <c r="E15" s="3" t="s">
        <v>11</v>
      </c>
      <c r="F15" s="3" t="s">
        <v>11</v>
      </c>
      <c r="G15" s="3" t="s">
        <v>12</v>
      </c>
      <c r="H15" s="3" t="s">
        <v>13</v>
      </c>
      <c r="I15" s="5" t="s">
        <v>36</v>
      </c>
      <c r="J15" s="3">
        <v>9</v>
      </c>
    </row>
    <row r="16" spans="1:10" ht="30" x14ac:dyDescent="0.25">
      <c r="A16" s="3" t="s">
        <v>27</v>
      </c>
      <c r="B16" s="6" t="s">
        <v>4</v>
      </c>
      <c r="C16" s="3">
        <v>25</v>
      </c>
      <c r="D16" s="3">
        <v>10</v>
      </c>
      <c r="E16" s="3" t="s">
        <v>11</v>
      </c>
      <c r="F16" s="3" t="s">
        <v>11</v>
      </c>
      <c r="G16" s="3" t="s">
        <v>12</v>
      </c>
      <c r="H16" s="3" t="s">
        <v>11</v>
      </c>
      <c r="I16" s="5" t="s">
        <v>14</v>
      </c>
      <c r="J16" s="3">
        <v>10</v>
      </c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7" t="s">
        <v>20</v>
      </c>
      <c r="B18" s="17"/>
      <c r="C18" s="10"/>
      <c r="D18" s="1"/>
      <c r="E18" s="1"/>
      <c r="F18" s="1"/>
      <c r="G18" s="1"/>
    </row>
    <row r="19" spans="1:7" x14ac:dyDescent="0.25">
      <c r="A19" s="11" t="s">
        <v>0</v>
      </c>
      <c r="B19" s="12" t="s">
        <v>22</v>
      </c>
      <c r="C19" s="12" t="s">
        <v>21</v>
      </c>
    </row>
    <row r="20" spans="1:7" x14ac:dyDescent="0.25">
      <c r="A20" s="13" t="s">
        <v>2</v>
      </c>
      <c r="B20" s="14">
        <f>SUM(J2+J5+J8+J11+J14)</f>
        <v>37</v>
      </c>
      <c r="C20" s="14">
        <f>(B20/5)</f>
        <v>7.4</v>
      </c>
    </row>
    <row r="21" spans="1:7" x14ac:dyDescent="0.25">
      <c r="A21" s="13" t="s">
        <v>3</v>
      </c>
      <c r="B21" s="14">
        <f>SUM(J3+J6+J9+J12+J15)</f>
        <v>43</v>
      </c>
      <c r="C21" s="14">
        <f>(B21/5)</f>
        <v>8.6</v>
      </c>
    </row>
    <row r="22" spans="1:7" x14ac:dyDescent="0.25">
      <c r="A22" s="13" t="s">
        <v>4</v>
      </c>
      <c r="B22" s="14">
        <f>SUM(J4+J7+J10+J13+J16)</f>
        <v>40</v>
      </c>
      <c r="C22" s="14">
        <f>(B22/5)</f>
        <v>8</v>
      </c>
    </row>
    <row r="25" spans="1:7" x14ac:dyDescent="0.25">
      <c r="A25" s="15" t="s">
        <v>17</v>
      </c>
      <c r="B25" s="15"/>
      <c r="C25" s="15"/>
      <c r="D25" s="15"/>
      <c r="E25" s="15"/>
    </row>
    <row r="26" spans="1:7" x14ac:dyDescent="0.25">
      <c r="A26" s="16"/>
      <c r="B26" s="8" t="s">
        <v>19</v>
      </c>
      <c r="C26" s="8" t="s">
        <v>8</v>
      </c>
      <c r="D26" s="8" t="s">
        <v>9</v>
      </c>
      <c r="E26" s="8" t="s">
        <v>10</v>
      </c>
    </row>
    <row r="27" spans="1:7" x14ac:dyDescent="0.25">
      <c r="A27" s="9" t="s">
        <v>11</v>
      </c>
      <c r="B27" s="7">
        <v>4</v>
      </c>
      <c r="C27" s="7">
        <v>2</v>
      </c>
      <c r="D27" s="7">
        <v>0</v>
      </c>
      <c r="E27" s="7">
        <v>2</v>
      </c>
    </row>
    <row r="28" spans="1:7" x14ac:dyDescent="0.25">
      <c r="A28" s="9" t="s">
        <v>13</v>
      </c>
      <c r="B28" s="7">
        <v>2</v>
      </c>
      <c r="C28" s="7">
        <v>1</v>
      </c>
      <c r="D28" s="7">
        <v>1</v>
      </c>
      <c r="E28" s="7">
        <v>1</v>
      </c>
    </row>
    <row r="29" spans="1:7" x14ac:dyDescent="0.25">
      <c r="A29" s="9" t="s">
        <v>12</v>
      </c>
      <c r="B29" s="7">
        <v>0</v>
      </c>
      <c r="C29" s="7">
        <v>0</v>
      </c>
      <c r="D29" s="7">
        <v>2</v>
      </c>
      <c r="E29" s="7">
        <v>0</v>
      </c>
    </row>
  </sheetData>
  <mergeCells count="1">
    <mergeCell ref="A18:B18"/>
  </mergeCells>
  <pageMargins left="0.511811024" right="0.511811024" top="0.78740157499999996" bottom="0.78740157499999996" header="0.31496062000000002" footer="0.31496062000000002"/>
  <pageSetup paperSize="9" orientation="portrait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johnison almeida</dc:creator>
  <cp:lastModifiedBy>johnison almeida</cp:lastModifiedBy>
  <dcterms:created xsi:type="dcterms:W3CDTF">2026-03-20T18:32:38Z</dcterms:created>
  <dcterms:modified xsi:type="dcterms:W3CDTF">2026-04-04T03:29:47Z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2026-03-20T18:33:25Z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d90ea0af-901a-45db-a835-b5bdd22444ec</vt:lpwstr>
  </property>
  <property fmtid="{D5CDD505-2E9C-101B-9397-08002B2CF9AE}" pid="7" name="MSIP_Label_defa4170-0d19-0005-0004-bc88714345d2_ActionId">
    <vt:lpwstr>1a53b7c2-c499-482d-b9d5-05373d5428be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