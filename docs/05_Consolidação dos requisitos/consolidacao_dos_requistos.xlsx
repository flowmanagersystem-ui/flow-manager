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Etapa Mineração V2.0/04_consolidacao/"/>
    </mc:Choice>
  </mc:AlternateContent>
  <xr:revisionPtr revIDLastSave="1600" documentId="8_{251C1C45-7614-4D94-A8F4-0E850A850E1A}" xr6:coauthVersionLast="47" xr6:coauthVersionMax="47" xr10:uidLastSave="{4EB92A85-6844-4D4A-A8A6-1F2E6CDD4F85}"/>
  <bookViews>
    <workbookView xWindow="-120" yWindow="-120" windowWidth="29040" windowHeight="15840" xr2:uid="{72F537D0-94C0-44E6-911A-D742E9D695C5}"/>
  </bookViews>
  <sheets>
    <sheet name="consolid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1" l="1"/>
  <c r="J145" i="1" s="1"/>
  <c r="I146" i="1"/>
  <c r="J146" i="1" s="1"/>
  <c r="I147" i="1"/>
  <c r="J147" i="1" s="1"/>
  <c r="I141" i="1"/>
  <c r="J141" i="1" s="1"/>
  <c r="I142" i="1"/>
  <c r="J142" i="1" s="1"/>
  <c r="I143" i="1"/>
  <c r="J143" i="1" s="1"/>
  <c r="I144" i="1"/>
  <c r="J144" i="1" s="1"/>
  <c r="I138" i="1"/>
  <c r="J138" i="1" s="1"/>
  <c r="I139" i="1"/>
  <c r="J139" i="1" s="1"/>
  <c r="I140" i="1"/>
  <c r="J140" i="1" s="1"/>
  <c r="I134" i="1"/>
  <c r="J134" i="1" s="1"/>
  <c r="I135" i="1"/>
  <c r="J135" i="1" s="1"/>
  <c r="I136" i="1"/>
  <c r="J136" i="1" s="1"/>
  <c r="I137" i="1"/>
  <c r="J137" i="1" s="1"/>
  <c r="I130" i="1"/>
  <c r="I131" i="1"/>
  <c r="J131" i="1" s="1"/>
  <c r="I132" i="1"/>
  <c r="J132" i="1" s="1"/>
  <c r="I133" i="1"/>
  <c r="J133" i="1" s="1"/>
  <c r="J130" i="1"/>
  <c r="I129" i="1" l="1"/>
  <c r="J129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52" i="1"/>
  <c r="J52" i="1" s="1"/>
  <c r="I49" i="1"/>
  <c r="J49" i="1" s="1"/>
  <c r="I39" i="1"/>
  <c r="J39" i="1" s="1"/>
  <c r="I40" i="1"/>
  <c r="J40" i="1" s="1"/>
  <c r="I41" i="1"/>
  <c r="J41" i="1" s="1"/>
  <c r="I27" i="1"/>
  <c r="J27" i="1" s="1"/>
  <c r="I28" i="1"/>
  <c r="J28" i="1" s="1"/>
  <c r="I29" i="1"/>
  <c r="J29" i="1" s="1"/>
  <c r="I23" i="1"/>
  <c r="J23" i="1" s="1"/>
  <c r="I24" i="1"/>
  <c r="J24" i="1" s="1"/>
  <c r="I25" i="1"/>
  <c r="J25" i="1" s="1"/>
  <c r="I5" i="1"/>
  <c r="J5" i="1" s="1"/>
  <c r="I126" i="1"/>
  <c r="J126" i="1" s="1"/>
  <c r="I127" i="1"/>
  <c r="J127" i="1" s="1"/>
  <c r="I99" i="1"/>
  <c r="J99" i="1" s="1"/>
  <c r="I100" i="1"/>
  <c r="J100" i="1" s="1"/>
  <c r="I88" i="1"/>
  <c r="J88" i="1" s="1"/>
  <c r="I54" i="1"/>
  <c r="J54" i="1" s="1"/>
  <c r="I43" i="1"/>
  <c r="J43" i="1" s="1"/>
  <c r="I44" i="1"/>
  <c r="J44" i="1" s="1"/>
  <c r="I45" i="1"/>
  <c r="J45" i="1" s="1"/>
  <c r="I31" i="1"/>
  <c r="J31" i="1" s="1"/>
  <c r="I32" i="1"/>
  <c r="J32" i="1" s="1"/>
  <c r="I33" i="1"/>
  <c r="J33" i="1" s="1"/>
  <c r="I17" i="1"/>
  <c r="J17" i="1" s="1"/>
  <c r="I123" i="1"/>
  <c r="J123" i="1" s="1"/>
  <c r="I124" i="1"/>
  <c r="J124" i="1" s="1"/>
  <c r="I125" i="1"/>
  <c r="J125" i="1" s="1"/>
  <c r="I94" i="1"/>
  <c r="J94" i="1" s="1"/>
  <c r="I95" i="1"/>
  <c r="J95" i="1" s="1"/>
  <c r="I96" i="1"/>
  <c r="J96" i="1" s="1"/>
  <c r="I97" i="1"/>
  <c r="J97" i="1" s="1"/>
  <c r="I98" i="1"/>
  <c r="J98" i="1" s="1"/>
  <c r="I86" i="1"/>
  <c r="J86" i="1" s="1"/>
  <c r="I87" i="1"/>
  <c r="J87" i="1" s="1"/>
  <c r="I89" i="1"/>
  <c r="J89" i="1" s="1"/>
  <c r="I90" i="1"/>
  <c r="J90" i="1" s="1"/>
  <c r="I91" i="1"/>
  <c r="J91" i="1" s="1"/>
  <c r="I51" i="1"/>
  <c r="J51" i="1" s="1"/>
  <c r="I53" i="1"/>
  <c r="J53" i="1" s="1"/>
  <c r="I26" i="1"/>
  <c r="J26" i="1" s="1"/>
  <c r="I30" i="1"/>
  <c r="J30" i="1" s="1"/>
  <c r="I13" i="1"/>
  <c r="J13" i="1" s="1"/>
  <c r="I14" i="1"/>
  <c r="J14" i="1" s="1"/>
  <c r="I15" i="1"/>
  <c r="J15" i="1" s="1"/>
  <c r="I16" i="1"/>
  <c r="J16" i="1" s="1"/>
  <c r="I48" i="1"/>
  <c r="J48" i="1" s="1"/>
  <c r="I128" i="1"/>
  <c r="J128" i="1" s="1"/>
  <c r="I47" i="1"/>
  <c r="J47" i="1" s="1"/>
  <c r="I50" i="1"/>
  <c r="J50" i="1" s="1"/>
  <c r="I46" i="1"/>
  <c r="J46" i="1" s="1"/>
  <c r="I42" i="1"/>
  <c r="J42" i="1" s="1"/>
  <c r="I10" i="1"/>
  <c r="J10" i="1" s="1"/>
  <c r="I9" i="1"/>
  <c r="J9" i="1" s="1"/>
  <c r="I8" i="1"/>
  <c r="J8" i="1" s="1"/>
  <c r="I3" i="1"/>
  <c r="J3" i="1" s="1"/>
  <c r="I4" i="1"/>
  <c r="J4" i="1" s="1"/>
  <c r="I6" i="1"/>
  <c r="J6" i="1" s="1"/>
  <c r="I7" i="1"/>
  <c r="J7" i="1" s="1"/>
  <c r="I11" i="1"/>
  <c r="J11" i="1" s="1"/>
  <c r="I12" i="1"/>
  <c r="J12" i="1" s="1"/>
  <c r="I18" i="1"/>
  <c r="J18" i="1" s="1"/>
  <c r="I19" i="1"/>
  <c r="J19" i="1" s="1"/>
  <c r="I20" i="1"/>
  <c r="J20" i="1" s="1"/>
  <c r="I21" i="1"/>
  <c r="J21" i="1" s="1"/>
  <c r="I22" i="1"/>
  <c r="J22" i="1" s="1"/>
  <c r="I34" i="1"/>
  <c r="J34" i="1" s="1"/>
  <c r="I35" i="1"/>
  <c r="J35" i="1" s="1"/>
  <c r="I36" i="1"/>
  <c r="J36" i="1" s="1"/>
  <c r="I37" i="1"/>
  <c r="J37" i="1" s="1"/>
  <c r="I38" i="1"/>
  <c r="J38" i="1" s="1"/>
  <c r="I92" i="1"/>
  <c r="J92" i="1" s="1"/>
  <c r="I93" i="1"/>
  <c r="J93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2" i="1"/>
  <c r="J2" i="1" s="1"/>
</calcChain>
</file>

<file path=xl/sharedStrings.xml><?xml version="1.0" encoding="utf-8"?>
<sst xmlns="http://schemas.openxmlformats.org/spreadsheetml/2006/main" count="448" uniqueCount="319">
  <si>
    <t>ID</t>
  </si>
  <si>
    <t>Beauty System</t>
  </si>
  <si>
    <t>BeautyApp</t>
  </si>
  <si>
    <t>BeleSys</t>
  </si>
  <si>
    <t>Sistema KALON</t>
  </si>
  <si>
    <t>Spaço da Beleza</t>
  </si>
  <si>
    <t xml:space="preserve">Frequência </t>
  </si>
  <si>
    <t>Implementar</t>
  </si>
  <si>
    <t>Descrição</t>
  </si>
  <si>
    <t>O sistema deve emitir relatório de clientes cadastrados.</t>
  </si>
  <si>
    <t>O sistema deve emitir relatório de aniversariantes do mês.</t>
  </si>
  <si>
    <t>O sistema deve emitir relatório de agendamentos.</t>
  </si>
  <si>
    <t>O sistema deve registrar a forma de pagamento de cada cliente no momento da venda de produtos e/ou serviços.</t>
  </si>
  <si>
    <t>O sistema deve realizar a abertura e o fechamento de caixa, registrando toda a movimentação financeira diária.</t>
  </si>
  <si>
    <t>O sistema deve exibir o saldo e extrato do caixa com toda a movimentação em tempo real.</t>
  </si>
  <si>
    <t>O sistema deve emitir relatório de fluxo de caixa.</t>
  </si>
  <si>
    <t>O sistema deve permitir o cadastro de produtos.</t>
  </si>
  <si>
    <t>O sistema deve permitir alterar um produto.</t>
  </si>
  <si>
    <t>O sistema deve permitir excluir um produto.</t>
  </si>
  <si>
    <t>O sistema deve exibir uma lista de todos os produtos cadastrados.</t>
  </si>
  <si>
    <t>O sistema deve permitir a filtragem da lista de produtos.</t>
  </si>
  <si>
    <t>O sistema deve registrar compras de produtos, associando quantidade, produto e fornecedor, para controle de estoque.</t>
  </si>
  <si>
    <t>O sistema deve atualizar automaticamente o estoque de produtos a partir dos lançamentos de compras e vendas.</t>
  </si>
  <si>
    <t>O sistema deve emitir relatório de estoque de produtos, compras e vendas.</t>
  </si>
  <si>
    <t>O sistema deve permitir o cadastro de fornecedores.</t>
  </si>
  <si>
    <t>O sistema deve exibir uma lista de todos os fornecedores cadastrados.</t>
  </si>
  <si>
    <t>O sistema deve permitir a filtragem da lista de fornecedores.</t>
  </si>
  <si>
    <t>O sistema deve permitir o cadastro de usuários pelo administrador.</t>
  </si>
  <si>
    <t>O sistema deve controlar o acesso dos usuários, permitindo ou negando o acesso ao sistema com base nas credenciais cadastradas.</t>
  </si>
  <si>
    <t>O sistema deve permitir a realização de restauração da base de dados.</t>
  </si>
  <si>
    <t>O sistema deve permitir a realização de backup da base de dados.</t>
  </si>
  <si>
    <t>O sistema deve emitir relatórios gerenciais de diferentes tipos, permitindo ao usuário selecionar o tipo desejado e imprimi-los.</t>
  </si>
  <si>
    <t>O sistema deve exibir apenas os horários disponíveis para a data selecionada no momento da criação de um agendamento.</t>
  </si>
  <si>
    <t>O sistema deve impedir o cadastro de um cliente caso o e-mail já esteja cadastrado.</t>
  </si>
  <si>
    <t>O sistema deve permitir que o usuário remova horários de atendimento de um profissional.</t>
  </si>
  <si>
    <t>O sistema deve exibir uma lista de todos os profissionais cadastrados.</t>
  </si>
  <si>
    <t>O sistema deve registrar comissões de profissionais sobre os serviços prestados.</t>
  </si>
  <si>
    <t>O sistema deve permitir alterar um fornecedor.</t>
  </si>
  <si>
    <t>O sistema deve permitir excluir um fornecedor.</t>
  </si>
  <si>
    <t xml:space="preserve">O sistema deve permitir que o usuário realize login com e-mail e senha. </t>
  </si>
  <si>
    <t>O sistema deve exibir mensagem de erro quando o usuário informar e-mail ou senha incorretos no login.</t>
  </si>
  <si>
    <t>O sistema deve redirecionar o usuário para a tela principal correspondente ao seu tipo após a autenticação bem-sucedida.</t>
  </si>
  <si>
    <t>O sistema deve exibir a tela de login quando não houver usuário autenticado na sessão.</t>
  </si>
  <si>
    <t>O sistema deve permitir que o usuário encerre sua sessão (logout).</t>
  </si>
  <si>
    <t>O sistema deve armazenar e exibir nome e valor para cada serviço cadastrado por profissional.</t>
  </si>
  <si>
    <t>O sistema deve permitir que administradores e funcionários visualizem a agenda em diferentes modos.</t>
  </si>
  <si>
    <t>O sistema deve permitir que funcionários visualizem apenas os agendamentos vinculados a eles.</t>
  </si>
  <si>
    <t>O sistema deve identificar automaticamente os agendamentos com status 'Agendado' próximos ao horário corrente e enviar lembretes personalizados via WhatsApp para os clientes.</t>
  </si>
  <si>
    <t>O sistema deve enviar lembretes via WhatsApp às 8h para agendamentos com horário a partir das 12h do mesmo dia, e às 20h para agendamentos do dia seguinte com horário antes das 12h.</t>
  </si>
  <si>
    <t>O sistema deve registrar o envio de cada lembrete de agendamento.</t>
  </si>
  <si>
    <t>O sistema deve permitir que administradores gerem relatórios financeiros de atendimentos concluídos.</t>
  </si>
  <si>
    <t>O sistema deve permitir que o relatório financeiro inclua opcionalmente os agendamentos com status 'Cancelado'.</t>
  </si>
  <si>
    <t>O sistema deve permitir que administradores exportem o relatório financeiro gerado.</t>
  </si>
  <si>
    <t>O sistema deve permitir o reagendamento (remarcação) de agendamentos existentes.</t>
  </si>
  <si>
    <t>O sistema deve registrar o check-in do agendamento, verificando a presença do cliente no dia e horário agendados.</t>
  </si>
  <si>
    <t>O sistema deve gerar indicadores gerenciais a partir dos dados de agendamentos e pesquisas de satisfação para apoio à tomada de decisão.</t>
  </si>
  <si>
    <t>O sistema deve permitir o filtro dos relatórios por período e por funcionário.</t>
  </si>
  <si>
    <t>O sistema deve exibir um termo de política de privacidade especificando quais dados são coletados e como são utilizados.</t>
  </si>
  <si>
    <t>O sistema deve permitir que o usuário vincule horários de atendimento a um profissional.</t>
  </si>
  <si>
    <t>O sistema deve permitir que o usuário remova horários de atendimento.</t>
  </si>
  <si>
    <t>O sistema deve permitir que o usuário edite horários de atendimento.</t>
  </si>
  <si>
    <t>O sistema deve permitir ao usuário solicitar a redefinição de sua senha por meio do e-mail cadastrado.</t>
  </si>
  <si>
    <t>RF100</t>
  </si>
  <si>
    <t>RF101</t>
  </si>
  <si>
    <t>RF102</t>
  </si>
  <si>
    <t>RF103</t>
  </si>
  <si>
    <t>RF104</t>
  </si>
  <si>
    <t>RF105</t>
  </si>
  <si>
    <t>RF106</t>
  </si>
  <si>
    <t>RF107</t>
  </si>
  <si>
    <t>RF108</t>
  </si>
  <si>
    <t>RF109</t>
  </si>
  <si>
    <t>O sistema deve registrar a venda de produtos e/ou serviços para o cliente.</t>
  </si>
  <si>
    <t>O sistema deve permitir que o usuário do tipo empresa edite os dados do seu perfil</t>
  </si>
  <si>
    <t>O sistema deve permitir que o administrador cadastre um cliente.</t>
  </si>
  <si>
    <t>O sistema deve permitir que o administrador edite os dados de um cliente.</t>
  </si>
  <si>
    <t>O sistema deve permitir que o administrador exclua um cliente.</t>
  </si>
  <si>
    <t>O sistema deve permitir que o cliente faça seu própio cadastro.</t>
  </si>
  <si>
    <t>O sistema deve exibir a lista de clientes cadastrados.</t>
  </si>
  <si>
    <t>O sistema deve permitir que o usuário filtre a lista de clientes.</t>
  </si>
  <si>
    <t>O sistema deve permitir que o cliente edite os dados do seu perfil.</t>
  </si>
  <si>
    <t>O sistema deve exibir no perfil do cliente as informações de nome, CPF e e-mail.</t>
  </si>
  <si>
    <t>O sistema deve exibir ao cliente a lista de empresas e profissionais cadastrados na plataforma.</t>
  </si>
  <si>
    <t>O sistema deve permitir que o próprio cliente realize seu agendamento.</t>
  </si>
  <si>
    <t>O sistema deve permitir que o cliente selecione serviço, data, hora e profissional desejado durante o processo de agendamento.</t>
  </si>
  <si>
    <t>O sistema deve permitir que o administrador envie e-mails informativos sobre a empresa aos clientes.</t>
  </si>
  <si>
    <t>O sistema deve registrar o envio de notificações programadas ao cliente conforme o período de manutenção dos procedimentos realizados.</t>
  </si>
  <si>
    <t>O sistema deve permitir que o administrador cadastre uma empresa.</t>
  </si>
  <si>
    <t>O sistema deve permitir que o administrador cadastre um serviço.</t>
  </si>
  <si>
    <t>O sistema deve permitir que o administrador edite os dados de um serviço.</t>
  </si>
  <si>
    <t>O sistema deve permitir que o administrador exclua um serviço.</t>
  </si>
  <si>
    <t>O sistema deve permitir que a empresa cadastre um serviço.</t>
  </si>
  <si>
    <t>O sistema deve permitir que a empresa edite os dados de um serviço.</t>
  </si>
  <si>
    <t>O sistema deve exibir a lista de serviços cadastrados.</t>
  </si>
  <si>
    <t>O sistema deve permitir que o usuário filtre a lista de serviços.</t>
  </si>
  <si>
    <t>O sistema deve registrar o envio de notificações de alerta ao cliente para manutenção de procedimentos realizados.</t>
  </si>
  <si>
    <t>O sistema deve exibir as respostas da pesquisa de satisfação para análise do administrador.</t>
  </si>
  <si>
    <t>O sistema deve registrar o envio de pesquisa de satisfação ao cliente após a finalização do serviço.</t>
  </si>
  <si>
    <t>O sistema deve permiter que a empresa associe serviço ao profissional.</t>
  </si>
  <si>
    <t>O sistema deve permiter que a empresa remova um serviço do profissional.</t>
  </si>
  <si>
    <t>O sistema deve permitir que o administrador cadastre um profissional.</t>
  </si>
  <si>
    <t>O sistema deve permitir que o administrador edite os dados de um profissional.</t>
  </si>
  <si>
    <t>O sistema deve permitir que o administrador exclua um profissional.</t>
  </si>
  <si>
    <t>O sistema deve permitir que o usuário filtre a lista de profissionais.</t>
  </si>
  <si>
    <t>O sistema deve permitir que a empresa cadastre um profissional.</t>
  </si>
  <si>
    <t>O sistema deve permitir que a empresa edite os dados de um profissional.</t>
  </si>
  <si>
    <t>O sistema deve permitir que a empresa exclua um profissional.</t>
  </si>
  <si>
    <t>O sistema deve exibir a lista de horários de atendimento padrão.</t>
  </si>
  <si>
    <t>O sistema deve impedir que um usuário não administrador cadastre empresas e profissionais.</t>
  </si>
  <si>
    <t>O sistema deve permitir que o usuário adicione um serviço a um profissional.</t>
  </si>
  <si>
    <t>O sistema deve permitir ao administrador a seleção de um cliente para criação de um agendamento.</t>
  </si>
  <si>
    <t>O sistema deve permitir ao administrador a seleção de um serviço para criação de um agendamento.</t>
  </si>
  <si>
    <t>O sistema deve permitir ao administrador a seleção de um profissional para criação de um agendamento.</t>
  </si>
  <si>
    <t>O sistema deve permitir ao administrador a seleção da data e hora para criação de um agendamento.</t>
  </si>
  <si>
    <t>O sistema deve permitir ao usuário salvar o agendamento.</t>
  </si>
  <si>
    <t>O sistema deve exibir uma lista de todos os agendamentos cadastrados.</t>
  </si>
  <si>
    <t>O sistema deve permitir que o usuário filtre a lista de agendamentos.</t>
  </si>
  <si>
    <t>O sistema deve permitir que a administrador edite os dados de um agendamento.</t>
  </si>
  <si>
    <t>O sistema deve permitir que a administrador exclua um agendamento.</t>
  </si>
  <si>
    <t>O sistema deve permitir o cliente a seleção de uma empresa para realizar o agendamento.</t>
  </si>
  <si>
    <t>O sistema deve permitir o cliente a exibição de uma lista das empresas para realizar o agendamento.</t>
  </si>
  <si>
    <t>O sistema deve permitir ao cliente a seleção da data e hora para criação de um agendamento.</t>
  </si>
  <si>
    <t>O sistema deve permitir o cliente a seleção de um profissional para criação de um agendamento.</t>
  </si>
  <si>
    <t>O sistema deve permitir o cliente a seleção de um serviço para criação de um agendamento.</t>
  </si>
  <si>
    <t xml:space="preserve">O sistema deve valídar os campos obrigatórios antes da criação de um agendamento. </t>
  </si>
  <si>
    <t>O sistema deve permitir ao administrador inserir o valor do serviço do agendamento.</t>
  </si>
  <si>
    <t>O sistema deve permitir ao administrador inserir o valor do desconto serviço do agendamento.</t>
  </si>
  <si>
    <t>O sistema deve permitir ao administrador vizualizar o valor do serviço do calculado o desconto agendamento.</t>
  </si>
  <si>
    <t>O sistema deve permitir ao administrador inserir observações do serviço a ser agendamento.</t>
  </si>
  <si>
    <t xml:space="preserve">O sistema deve permitir o cliente inserir seu nome para a solicitação do agendamento. </t>
  </si>
  <si>
    <t xml:space="preserve">O sistema deve permitir o cliente inserir seu telefone para a solicitação do agendamento. </t>
  </si>
  <si>
    <t xml:space="preserve">O sistema deve registrar a solicitação de agendamento do cliente. </t>
  </si>
  <si>
    <t>O sistema deve enviar a confirmação do agendamento ao cliente após aprovação da solicitação.</t>
  </si>
  <si>
    <t>O sistema deve gravar a resposta da pesquisa de satisfação do cliente.</t>
  </si>
  <si>
    <t>O sistema deve exibir ao administrador as solicitações de agendamento pendentes.</t>
  </si>
  <si>
    <t xml:space="preserve">O sistema deve dar ao adminmistrador a opção de aprovar ou não a solicitação de agendamento do cliente. </t>
  </si>
  <si>
    <t>O sistema deve permitir ao administrador o opção de cancelamento de um agendamento.</t>
  </si>
  <si>
    <t xml:space="preserve">O sistema deve permitir o administrador atualizar o status do agendamento. </t>
  </si>
  <si>
    <t>O sistema deve exibir um resumo e solicitar a confirmação do agendamento.</t>
  </si>
  <si>
    <t>RF110</t>
  </si>
  <si>
    <t>RF111</t>
  </si>
  <si>
    <t>RF112</t>
  </si>
  <si>
    <t>RF113</t>
  </si>
  <si>
    <t>RF114</t>
  </si>
  <si>
    <t>RF115</t>
  </si>
  <si>
    <t>RF116</t>
  </si>
  <si>
    <t>RF117</t>
  </si>
  <si>
    <t>RF118</t>
  </si>
  <si>
    <t>RF119</t>
  </si>
  <si>
    <t>RF120</t>
  </si>
  <si>
    <t>RF121</t>
  </si>
  <si>
    <t>RF122</t>
  </si>
  <si>
    <t>RF123</t>
  </si>
  <si>
    <t>RF124</t>
  </si>
  <si>
    <t>RF125</t>
  </si>
  <si>
    <t>RF126</t>
  </si>
  <si>
    <t>RF127</t>
  </si>
  <si>
    <t>RF128</t>
  </si>
  <si>
    <t>RF129</t>
  </si>
  <si>
    <t>RF130</t>
  </si>
  <si>
    <t>RF131</t>
  </si>
  <si>
    <t>RF132</t>
  </si>
  <si>
    <t>RF133</t>
  </si>
  <si>
    <t>RF001</t>
  </si>
  <si>
    <t>RF002</t>
  </si>
  <si>
    <t>RF003</t>
  </si>
  <si>
    <t>RF004</t>
  </si>
  <si>
    <t>RF005</t>
  </si>
  <si>
    <t>RF006</t>
  </si>
  <si>
    <t>RF007</t>
  </si>
  <si>
    <t>RF008</t>
  </si>
  <si>
    <t>RF009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</si>
  <si>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</si>
  <si>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</si>
  <si>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</si>
  <si>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</si>
  <si>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</si>
  <si>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</si>
  <si>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</si>
  <si>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</si>
  <si>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</si>
  <si>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</si>
  <si>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</si>
  <si>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RF021</t>
  </si>
  <si>
    <t>RF022</t>
  </si>
  <si>
    <t>RF023</t>
  </si>
  <si>
    <t>RF024</t>
  </si>
  <si>
    <t>RF025</t>
  </si>
  <si>
    <t>RF026</t>
  </si>
  <si>
    <t>RF027</t>
  </si>
  <si>
    <t>RF028</t>
  </si>
  <si>
    <t>RF029</t>
  </si>
  <si>
    <t>RF031</t>
  </si>
  <si>
    <t>RF032</t>
  </si>
  <si>
    <t>RF033</t>
  </si>
  <si>
    <t>RF034</t>
  </si>
  <si>
    <t>RF035</t>
  </si>
  <si>
    <t>RF036</t>
  </si>
  <si>
    <t>RF037</t>
  </si>
  <si>
    <t>RF038</t>
  </si>
  <si>
    <t>RF039</t>
  </si>
  <si>
    <t>RF040</t>
  </si>
  <si>
    <t>RF041</t>
  </si>
  <si>
    <t>RF042</t>
  </si>
  <si>
    <t>RF043</t>
  </si>
  <si>
    <t>RF044</t>
  </si>
  <si>
    <t>RF045</t>
  </si>
  <si>
    <t>RF046</t>
  </si>
  <si>
    <t>RF047</t>
  </si>
  <si>
    <t>RF048</t>
  </si>
  <si>
    <t>RF049</t>
  </si>
  <si>
    <t>RF050</t>
  </si>
  <si>
    <t>RF051</t>
  </si>
  <si>
    <t>RF052</t>
  </si>
  <si>
    <t>RF053</t>
  </si>
  <si>
    <t>RF054</t>
  </si>
  <si>
    <t>RF055</t>
  </si>
  <si>
    <t>RF056</t>
  </si>
  <si>
    <t>RF057</t>
  </si>
  <si>
    <t>RF058</t>
  </si>
  <si>
    <t>RF059</t>
  </si>
  <si>
    <t>RF060</t>
  </si>
  <si>
    <t>RF061</t>
  </si>
  <si>
    <t>RF062</t>
  </si>
  <si>
    <t>RF063</t>
  </si>
  <si>
    <t>RF064</t>
  </si>
  <si>
    <t>RF065</t>
  </si>
  <si>
    <t>RF066</t>
  </si>
  <si>
    <t>RF067</t>
  </si>
  <si>
    <t>RF070</t>
  </si>
  <si>
    <t>RF071</t>
  </si>
  <si>
    <t>RF072</t>
  </si>
  <si>
    <t>RF073</t>
  </si>
  <si>
    <t>RF075</t>
  </si>
  <si>
    <t>RF076</t>
  </si>
  <si>
    <t>RF077</t>
  </si>
  <si>
    <t>RF078</t>
  </si>
  <si>
    <t>RF079</t>
  </si>
  <si>
    <t>RF080</t>
  </si>
  <si>
    <t>RF082</t>
  </si>
  <si>
    <t>RF083</t>
  </si>
  <si>
    <t>RF084</t>
  </si>
  <si>
    <t>RF085</t>
  </si>
  <si>
    <t>RF086</t>
  </si>
  <si>
    <t>RF087</t>
  </si>
  <si>
    <t>RF088</t>
  </si>
  <si>
    <t>RF089</t>
  </si>
  <si>
    <t>RF090</t>
  </si>
  <si>
    <t>RF091</t>
  </si>
  <si>
    <t>RF092</t>
  </si>
  <si>
    <t>RF093</t>
  </si>
  <si>
    <t>RF094</t>
  </si>
  <si>
    <t>RF095</t>
  </si>
  <si>
    <t>RF096</t>
  </si>
  <si>
    <t>RF097</t>
  </si>
  <si>
    <t>RF098</t>
  </si>
  <si>
    <t>RF099</t>
  </si>
  <si>
    <t>O sistema deve permitir que administrador defina o valor de um serviço.</t>
  </si>
  <si>
    <t>O sistema deve permitir que o administrador adicione um horário de atendimento do profissional.</t>
  </si>
  <si>
    <t>O sistema deve permitir que o profissional vizualize seu perfil.</t>
  </si>
  <si>
    <t>O sistema deve exibir para cada profissional o total de comissões recebidas por período, com filtro de intervalo de datas.</t>
  </si>
  <si>
    <t>O sistema deve permitir que o profissional edite os dados do seu próprio perfil.</t>
  </si>
  <si>
    <t>O sistema deve permitir que a empresa remova serviços associados a um profissional.</t>
  </si>
  <si>
    <t>Classificação</t>
  </si>
  <si>
    <t>Essencial</t>
  </si>
  <si>
    <t>Importante</t>
  </si>
  <si>
    <t>Opcional</t>
  </si>
  <si>
    <t>O sistema deve permitir que a empresa exclua um serviço.</t>
  </si>
  <si>
    <t>O sistema deve permitir que a empresa defina o valor de um serviço.</t>
  </si>
  <si>
    <t>RNF01</t>
  </si>
  <si>
    <t>O sistema deve restringir o acesso a funcionalidades de cadastro de usuários exclusivamente ao perfil de administrador.</t>
  </si>
  <si>
    <t>RNF02</t>
  </si>
  <si>
    <t>O sistema deve ser do tipo desktop (aplicação local), sem dependência de conexão à internet na versão atual.</t>
  </si>
  <si>
    <t>RNF03</t>
  </si>
  <si>
    <t>O sistema deve garantir a integridade dos dados por meio de mecanismo de backup e restauração da base de dados.</t>
  </si>
  <si>
    <t>RNF04</t>
  </si>
  <si>
    <t>O sistema deve exibir o saldo e a movimentação do caixa em tempo real.</t>
  </si>
  <si>
    <t>O sistema deve garantir que apenas usuários autenticados possam realizar operações de leitura e escrita no banco de dados.</t>
  </si>
  <si>
    <t>O sistema deve ser compatível com as plataformas Android e iOS.</t>
  </si>
  <si>
    <t>O banco de dados do sistema deve escalar proporcionalmente ao crescimento da aplicação, sem necessidade de intervenção manual na infraestrutura.</t>
  </si>
  <si>
    <t>O sistema deve possuir interface responsiva, adaptando-se a diferentes tamanhos de tela, sendo compatível com dispositivos móveis (celular, tablet) e desktops.</t>
  </si>
  <si>
    <t>O sistema deve criptografar as senhas dos usuários utilizando hash irreversível antes de armazená-las no banco de dados, aplicando a criptografia tanto no cadastro quanto na alteração de senha.</t>
  </si>
  <si>
    <t>O sistema deve controlar o acesso às funcionalidades com base no perfil do usuário: administradores têm acesso completo ao sistema; funcionários acessam apenas a agenda com os atendimentos atribuídos a eles e suas comissões.</t>
  </si>
  <si>
    <t>RNF05</t>
  </si>
  <si>
    <t>RNF06</t>
  </si>
  <si>
    <t>O sistema deve estar disponível 24 horas por dia, 7 dias por semana.</t>
  </si>
  <si>
    <t>O sistema deve apresentar interface com design atrativo, utilizando contraste adequado de cores e elementos visuais de fácil identificação e leitura.</t>
  </si>
  <si>
    <t>O sistema deve possibilitar o uso de forma intuitiva, levando em conta a experiência do usuário.</t>
  </si>
  <si>
    <t>O sistema deve funcionar completamente online na Web, sendo compatível com o navegador Google Chrome.</t>
  </si>
  <si>
    <t>O sistema deve carregar interfaces e componentes responsivos em até 7 segundos.</t>
  </si>
  <si>
    <t>O sistema deve exibir todas as páginas, exceto login, cadastro e redefinição de senha, somente para usuários autenticados.</t>
  </si>
  <si>
    <t>O sistema deve garantir a proteção dos dados dos usuários e gerenciar cookies conforme política predefinida.</t>
  </si>
  <si>
    <t>O sistema deve criptografar os dados trafegados entre o usuário e o servidor.</t>
  </si>
  <si>
    <t>RNF07</t>
  </si>
  <si>
    <t>RNF08</t>
  </si>
  <si>
    <t>RNF09</t>
  </si>
  <si>
    <t>RNF10</t>
  </si>
  <si>
    <t>RNF11</t>
  </si>
  <si>
    <t>RNF12</t>
  </si>
  <si>
    <t>RNF13</t>
  </si>
  <si>
    <t>RNF14</t>
  </si>
  <si>
    <t>RNF15</t>
  </si>
  <si>
    <t>RNF16</t>
  </si>
  <si>
    <t>RNF17</t>
  </si>
  <si>
    <t>RNF18</t>
  </si>
  <si>
    <t>Opcional- Segurança</t>
  </si>
  <si>
    <t>Opcional- Portabilidade/ Plataforma</t>
  </si>
  <si>
    <t>Importante- Confiabilidade</t>
  </si>
  <si>
    <t>Opcional - Desempenho</t>
  </si>
  <si>
    <t>Essencial -Segurança</t>
  </si>
  <si>
    <t>Essencial - Segurança</t>
  </si>
  <si>
    <t>Importante - Compatibilidade</t>
  </si>
  <si>
    <t>Importante - Escalabilidade</t>
  </si>
  <si>
    <t>Essencial - Usabilidade / Compatibilidade</t>
  </si>
  <si>
    <t>Essencial - Segurança / Controle de Acesso</t>
  </si>
  <si>
    <t>Essencial - Disponibilidade</t>
  </si>
  <si>
    <t>Importante - Usabilidade</t>
  </si>
  <si>
    <t>Importante - Segurança</t>
  </si>
  <si>
    <t>Essencial -Desempenho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</si>
</sst>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C5D8"/>
        <bgColor indexed="64"/>
      </patternFill>
    </fill>
    <fill>
      <patternFill patternType="solid">
        <fgColor rgb="FFF1F8E9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9" fontId="2" fillId="3" borderId="1" xfId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9" fontId="2" fillId="14" borderId="1" xfId="1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9" fontId="2" fillId="9" borderId="1" xfId="1" applyFont="1" applyFill="1" applyBorder="1" applyAlignment="1">
      <alignment horizontal="center" vertical="center"/>
    </xf>
    <xf numFmtId="9" fontId="2" fillId="10" borderId="1" xfId="1" applyFont="1" applyFill="1" applyBorder="1" applyAlignment="1">
      <alignment horizontal="center" vertical="center"/>
    </xf>
    <xf numFmtId="9" fontId="2" fillId="11" borderId="1" xfId="1" applyFont="1" applyFill="1" applyBorder="1" applyAlignment="1">
      <alignment horizontal="center" vertical="center"/>
    </xf>
    <xf numFmtId="9" fontId="2" fillId="12" borderId="1" xfId="1" applyFont="1" applyFill="1" applyBorder="1" applyAlignment="1">
      <alignment horizontal="center" vertical="center"/>
    </xf>
    <xf numFmtId="9" fontId="2" fillId="13" borderId="1" xfId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3" borderId="4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3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1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13" borderId="5" xfId="1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15" borderId="1" xfId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1" xfId="0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1" xfId="0" applyFont="1" applyFill="1" applyBorder="1" applyAlignment="1">
      <alignment horizontal="left" vertical="center" wrapText="1"/>
    </xf>
    <xf numFmtId="0" fontId="0" fillId="1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6" xfId="0" applyFont="1" applyFill="1" applyBorder="1" applyAlignment="1">
      <alignment horizontal="center" vertical="center"/>
    </xf>
    <xf numFmtId="0" fontId="0" fillId="13" borderId="0" xfId="0" applyFont="1" applyFill="1" applyAlignment="1">
      <alignment horizontal="left" vertical="center" wrapText="1"/>
    </xf>
    <xf numFmtId="0" fontId="0" fillId="13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E8F8F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solid">
          <fgColor indexed="64"/>
          <bgColor rgb="FFD6EAF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</border>
    </dxf>
  </dxfs>
  <tableStyles count="0" defaultTableStyle="TableStyleMedium2" defaultPivotStyle="PivotStyleLight16"/>
  <colors>
    <mruColors>
      <color rgb="FFF1F8E9"/>
      <color rgb="FFD6EAF8"/>
      <color rgb="FFE8E8E8"/>
      <color rgb="FFFDEDEC"/>
      <color rgb="FFEAFAF1"/>
      <color rgb="FFF5EEF8"/>
      <color rgb="FFFEF9E7"/>
      <color rgb="FFEBF5FB"/>
      <color rgb="FFFFC5D8"/>
      <color rgb="FFF9EB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D7D7A-8522-4CF1-A9CE-5F20CF690CE4}" name="Tabela1" displayName="Tabela1" ref="A1:J147" totalsRowShown="0" headerRowDxfId="2" dataDxfId="1" headerRowBorderDxfId="12" tableBorderDxfId="13">
  <autoFilter ref="A1:J147" xr:uid="{FBAD7D7A-8522-4CF1-A9CE-5F20CF690CE4}"/>
  <sortState xmlns:xlrd2="http://schemas.microsoft.com/office/spreadsheetml/2017/richdata2" ref="A2:J129">
    <sortCondition ref="A1:A129"/>
  </sortState>
  <tableColumns count="10">
    <tableColumn id="1" xr3:uid="{A2C70201-6225-4318-A86B-426EA11950FA}" name="ID" dataDxfId="11"/>
    <tableColumn id="2" xr3:uid="{924E8C59-F226-4B2D-BDE3-E076886C835D}" name="Descrição" dataDxfId="10"/>
    <tableColumn id="3" xr3:uid="{206F7D76-30BB-4A0C-A46A-4A33485C42D0}" name="Beauty System" dataDxfId="9"/>
    <tableColumn id="4" xr3:uid="{EF3795A6-6882-4B70-845B-19F9C8249D71}" name="BeautyApp" dataDxfId="8"/>
    <tableColumn id="5" xr3:uid="{293584C2-BFC0-42C1-B258-A693515A8E2A}" name="BeleSys" dataDxfId="7"/>
    <tableColumn id="6" xr3:uid="{0763F915-3354-4A4F-989F-6568F67066AC}" name="Sistema KALON" dataDxfId="6"/>
    <tableColumn id="7" xr3:uid="{7AE5BA32-7770-4633-8C79-735A111EA3E7}" name="Spaço da Beleza" dataDxfId="5"/>
    <tableColumn id="8" xr3:uid="{2F7B68F4-4C4A-4E39-B22B-EA368D1A4538}" name="Classificação" dataDxfId="0" dataCellStyle="Normal"/>
    <tableColumn id="9" xr3:uid="{17D226BF-8434-4F44-BA41-C1394F6AF87A}" name="Frequência " dataDxfId="4" dataCellStyle="Normal">
      <calculatedColumnFormula>COUNTIF(C2:G2, TRUE) / 5</calculatedColumnFormula>
    </tableColumn>
    <tableColumn id="10" xr3:uid="{5DCA5D3D-5663-430E-A06B-F61E71BDF94E}" name="Implementar" dataDxfId="3">
      <calculatedColumnFormula>IF(I2 &gt;= 60%, "Sim", "Não")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7787-F203-42A9-9496-7F17C830257D}">
  <dimension ref="A1:J147"/>
  <sheetViews>
    <sheetView tabSelected="1" workbookViewId="0">
      <pane ySplit="1" topLeftCell="A128" activePane="bottomLeft" state="frozen"/>
      <selection pane="bottomLeft" activeCell="A134" sqref="A134:B134"/>
    </sheetView>
  </sheetViews>
  <sheetFormatPr defaultRowHeight="15" x14ac:dyDescent="0.25"/>
  <cols>
    <col min="2" max="2" width="64.85546875" style="4" customWidth="1"/>
    <col min="3" max="3" width="23.28515625" customWidth="1"/>
    <col min="4" max="5" width="19.7109375" customWidth="1"/>
    <col min="6" max="6" width="23.28515625" customWidth="1"/>
    <col min="7" max="7" width="22.85546875" customWidth="1"/>
    <col min="8" max="8" width="21.85546875" style="1" customWidth="1"/>
    <col min="9" max="9" width="19.7109375" style="3" customWidth="1"/>
    <col min="10" max="10" width="22.85546875" customWidth="1"/>
  </cols>
  <sheetData>
    <row r="1" spans="1:10" s="2" customFormat="1" ht="30" customHeight="1" x14ac:dyDescent="0.25">
      <c r="A1" s="66" t="s">
        <v>0</v>
      </c>
      <c r="B1" s="67" t="s">
        <v>8</v>
      </c>
      <c r="C1" s="68" t="s">
        <v>1</v>
      </c>
      <c r="D1" s="68" t="s">
        <v>2</v>
      </c>
      <c r="E1" s="68" t="s">
        <v>3</v>
      </c>
      <c r="F1" s="68" t="s">
        <v>4</v>
      </c>
      <c r="G1" s="68" t="s">
        <v>5</v>
      </c>
      <c r="H1" s="68" t="s">
        <v>263</v>
      </c>
      <c r="I1" s="68" t="s">
        <v>6</v>
      </c>
      <c r="J1" s="68" t="s">
        <v>7</v>
      </c>
    </row>
    <row r="2" spans="1:10" ht="30" customHeight="1" x14ac:dyDescent="0.25">
      <c r="A2" s="37" t="s">
        <v>163</v>
      </c>
      <c r="B2" s="38" t="s">
        <v>74</v>
      </c>
      <c r="C2" s="39" t="b">
        <v>1</v>
      </c>
      <c r="D2" s="39" t="b">
        <v>0</v>
      </c>
      <c r="E2" s="39" t="b">
        <v>0</v>
      </c>
      <c r="F2" s="39" t="b">
        <v>1</v>
      </c>
      <c r="G2" s="39" t="b">
        <v>0</v>
      </c>
      <c r="H2" s="22" t="s">
        <v>265</v>
      </c>
      <c r="I2" s="18">
        <f t="shared" ref="I2:I33" si="0">COUNTIF(C2:G2, TRUE) / 5</f>
        <v>0.4</v>
      </c>
      <c r="J2" s="19" t="str">
        <f t="shared" ref="J2:J33" si="1">IF(I2 &gt;= 60%, "Sim", "Não")</f>
        <v>Não</v>
      </c>
    </row>
    <row r="3" spans="1:10" ht="30" customHeight="1" x14ac:dyDescent="0.25">
      <c r="A3" s="37" t="s">
        <v>164</v>
      </c>
      <c r="B3" s="38" t="s">
        <v>75</v>
      </c>
      <c r="C3" s="39" t="b">
        <v>1</v>
      </c>
      <c r="D3" s="39" t="b">
        <v>0</v>
      </c>
      <c r="E3" s="39" t="b">
        <v>0</v>
      </c>
      <c r="F3" s="39" t="b">
        <v>1</v>
      </c>
      <c r="G3" s="39" t="b">
        <v>1</v>
      </c>
      <c r="H3" s="22" t="s">
        <v>265</v>
      </c>
      <c r="I3" s="5">
        <f t="shared" si="0"/>
        <v>0.6</v>
      </c>
      <c r="J3" s="20" t="str">
        <f t="shared" si="1"/>
        <v>Sim</v>
      </c>
    </row>
    <row r="4" spans="1:10" ht="30" customHeight="1" x14ac:dyDescent="0.25">
      <c r="A4" s="37" t="s">
        <v>165</v>
      </c>
      <c r="B4" s="38" t="s">
        <v>76</v>
      </c>
      <c r="C4" s="39" t="b">
        <v>1</v>
      </c>
      <c r="D4" s="39" t="b">
        <v>0</v>
      </c>
      <c r="E4" s="39" t="b">
        <v>0</v>
      </c>
      <c r="F4" s="39" t="b">
        <v>1</v>
      </c>
      <c r="G4" s="39" t="b">
        <v>1</v>
      </c>
      <c r="H4" s="22" t="s">
        <v>265</v>
      </c>
      <c r="I4" s="21">
        <f t="shared" si="0"/>
        <v>0.6</v>
      </c>
      <c r="J4" s="20" t="str">
        <f t="shared" si="1"/>
        <v>Sim</v>
      </c>
    </row>
    <row r="5" spans="1:10" ht="30" customHeight="1" x14ac:dyDescent="0.25">
      <c r="A5" s="37" t="s">
        <v>166</v>
      </c>
      <c r="B5" s="38" t="s">
        <v>77</v>
      </c>
      <c r="C5" s="39" t="b">
        <v>1</v>
      </c>
      <c r="D5" s="39" t="b">
        <v>1</v>
      </c>
      <c r="E5" s="39" t="b">
        <v>0</v>
      </c>
      <c r="F5" s="39" t="b">
        <v>0</v>
      </c>
      <c r="G5" s="39" t="b">
        <v>1</v>
      </c>
      <c r="H5" s="18" t="s">
        <v>264</v>
      </c>
      <c r="I5" s="5">
        <f t="shared" si="0"/>
        <v>0.6</v>
      </c>
      <c r="J5" s="20" t="str">
        <f t="shared" si="1"/>
        <v>Sim</v>
      </c>
    </row>
    <row r="6" spans="1:10" ht="30" customHeight="1" x14ac:dyDescent="0.25">
      <c r="A6" s="37" t="s">
        <v>167</v>
      </c>
      <c r="B6" s="38" t="s">
        <v>78</v>
      </c>
      <c r="C6" s="39" t="b">
        <v>1</v>
      </c>
      <c r="D6" s="39" t="b">
        <v>0</v>
      </c>
      <c r="E6" s="39" t="b">
        <v>0</v>
      </c>
      <c r="F6" s="39" t="b">
        <v>0</v>
      </c>
      <c r="G6" s="39" t="b">
        <v>1</v>
      </c>
      <c r="H6" s="18" t="s">
        <v>264</v>
      </c>
      <c r="I6" s="5">
        <f t="shared" si="0"/>
        <v>0.4</v>
      </c>
      <c r="J6" s="20" t="str">
        <f t="shared" si="1"/>
        <v>Não</v>
      </c>
    </row>
    <row r="7" spans="1:10" ht="30" customHeight="1" x14ac:dyDescent="0.25">
      <c r="A7" s="37" t="s">
        <v>168</v>
      </c>
      <c r="B7" s="38" t="s">
        <v>79</v>
      </c>
      <c r="C7" s="39" t="b">
        <v>1</v>
      </c>
      <c r="D7" s="39" t="b">
        <v>0</v>
      </c>
      <c r="E7" s="39" t="b">
        <v>0</v>
      </c>
      <c r="F7" s="39" t="b">
        <v>1</v>
      </c>
      <c r="G7" s="39" t="b">
        <v>0</v>
      </c>
      <c r="H7" s="18" t="s">
        <v>264</v>
      </c>
      <c r="I7" s="5">
        <f t="shared" si="0"/>
        <v>0.4</v>
      </c>
      <c r="J7" s="20" t="str">
        <f t="shared" si="1"/>
        <v>Não</v>
      </c>
    </row>
    <row r="8" spans="1:10" ht="30" customHeight="1" x14ac:dyDescent="0.25">
      <c r="A8" s="37" t="s">
        <v>169</v>
      </c>
      <c r="B8" s="38" t="s">
        <v>33</v>
      </c>
      <c r="C8" s="39" t="b">
        <v>0</v>
      </c>
      <c r="D8" s="39" t="b">
        <v>1</v>
      </c>
      <c r="E8" s="39" t="b">
        <v>0</v>
      </c>
      <c r="F8" s="39" t="b">
        <v>0</v>
      </c>
      <c r="G8" s="39" t="b">
        <v>0</v>
      </c>
      <c r="H8" s="18" t="s">
        <v>264</v>
      </c>
      <c r="I8" s="5">
        <f t="shared" si="0"/>
        <v>0.2</v>
      </c>
      <c r="J8" s="20" t="str">
        <f t="shared" si="1"/>
        <v>Não</v>
      </c>
    </row>
    <row r="9" spans="1:10" ht="30" customHeight="1" x14ac:dyDescent="0.25">
      <c r="A9" s="37" t="s">
        <v>170</v>
      </c>
      <c r="B9" s="38" t="s">
        <v>80</v>
      </c>
      <c r="C9" s="39" t="b">
        <v>0</v>
      </c>
      <c r="D9" s="39" t="b">
        <v>1</v>
      </c>
      <c r="E9" s="39" t="b">
        <v>0</v>
      </c>
      <c r="F9" s="39" t="b">
        <v>0</v>
      </c>
      <c r="G9" s="39" t="b">
        <v>0</v>
      </c>
      <c r="H9" s="22" t="s">
        <v>265</v>
      </c>
      <c r="I9" s="5">
        <f t="shared" si="0"/>
        <v>0.2</v>
      </c>
      <c r="J9" s="20" t="str">
        <f t="shared" si="1"/>
        <v>Não</v>
      </c>
    </row>
    <row r="10" spans="1:10" ht="30" customHeight="1" x14ac:dyDescent="0.25">
      <c r="A10" s="37" t="s">
        <v>171</v>
      </c>
      <c r="B10" s="38" t="s">
        <v>81</v>
      </c>
      <c r="C10" s="39" t="b">
        <v>0</v>
      </c>
      <c r="D10" s="39" t="b">
        <v>1</v>
      </c>
      <c r="E10" s="39" t="b">
        <v>0</v>
      </c>
      <c r="F10" s="39" t="b">
        <v>0</v>
      </c>
      <c r="G10" s="39" t="b">
        <v>0</v>
      </c>
      <c r="H10" s="22" t="s">
        <v>265</v>
      </c>
      <c r="I10" s="5">
        <f t="shared" si="0"/>
        <v>0.2</v>
      </c>
      <c r="J10" s="20" t="str">
        <f t="shared" si="1"/>
        <v>Não</v>
      </c>
    </row>
    <row r="11" spans="1:10" ht="30" customHeight="1" x14ac:dyDescent="0.25">
      <c r="A11" s="37" t="s">
        <v>172</v>
      </c>
      <c r="B11" s="38" t="s">
        <v>9</v>
      </c>
      <c r="C11" s="39" t="b">
        <v>1</v>
      </c>
      <c r="D11" s="39" t="b">
        <v>0</v>
      </c>
      <c r="E11" s="39" t="b">
        <v>0</v>
      </c>
      <c r="F11" s="39" t="b">
        <v>1</v>
      </c>
      <c r="G11" s="39" t="b">
        <v>0</v>
      </c>
      <c r="H11" s="20" t="s">
        <v>266</v>
      </c>
      <c r="I11" s="5">
        <f t="shared" si="0"/>
        <v>0.4</v>
      </c>
      <c r="J11" s="20" t="str">
        <f t="shared" si="1"/>
        <v>Não</v>
      </c>
    </row>
    <row r="12" spans="1:10" ht="30" customHeight="1" x14ac:dyDescent="0.25">
      <c r="A12" s="37" t="s">
        <v>173</v>
      </c>
      <c r="B12" s="38" t="s">
        <v>10</v>
      </c>
      <c r="C12" s="39" t="b">
        <v>1</v>
      </c>
      <c r="D12" s="39" t="b">
        <v>0</v>
      </c>
      <c r="E12" s="39" t="b">
        <v>0</v>
      </c>
      <c r="F12" s="39" t="b">
        <v>0</v>
      </c>
      <c r="G12" s="39" t="b">
        <v>0</v>
      </c>
      <c r="H12" s="20" t="s">
        <v>266</v>
      </c>
      <c r="I12" s="5">
        <f t="shared" si="0"/>
        <v>0.2</v>
      </c>
      <c r="J12" s="20" t="str">
        <f t="shared" si="1"/>
        <v>Não</v>
      </c>
    </row>
    <row r="13" spans="1:10" ht="30" customHeight="1" x14ac:dyDescent="0.25">
      <c r="A13" s="37" t="s">
        <v>174</v>
      </c>
      <c r="B13" s="38" t="s">
        <v>82</v>
      </c>
      <c r="C13" s="39" t="b">
        <v>0</v>
      </c>
      <c r="D13" s="39" t="b">
        <v>1</v>
      </c>
      <c r="E13" s="39" t="b">
        <v>0</v>
      </c>
      <c r="F13" s="39" t="b">
        <v>0</v>
      </c>
      <c r="G13" s="39" t="b">
        <v>0</v>
      </c>
      <c r="H13" s="20" t="s">
        <v>266</v>
      </c>
      <c r="I13" s="5">
        <f t="shared" si="0"/>
        <v>0.2</v>
      </c>
      <c r="J13" s="20" t="str">
        <f t="shared" si="1"/>
        <v>Não</v>
      </c>
    </row>
    <row r="14" spans="1:10" ht="30" customHeight="1" x14ac:dyDescent="0.25">
      <c r="A14" s="37" t="s">
        <v>175</v>
      </c>
      <c r="B14" s="38" t="s">
        <v>83</v>
      </c>
      <c r="C14" s="39" t="b">
        <v>1</v>
      </c>
      <c r="D14" s="39" t="b">
        <v>1</v>
      </c>
      <c r="E14" s="39" t="b">
        <v>0</v>
      </c>
      <c r="F14" s="39" t="b">
        <v>1</v>
      </c>
      <c r="G14" s="39" t="b">
        <v>0</v>
      </c>
      <c r="H14" s="18" t="s">
        <v>264</v>
      </c>
      <c r="I14" s="5">
        <f t="shared" si="0"/>
        <v>0.6</v>
      </c>
      <c r="J14" s="20" t="str">
        <f t="shared" si="1"/>
        <v>Sim</v>
      </c>
    </row>
    <row r="15" spans="1:10" ht="30" customHeight="1" x14ac:dyDescent="0.25">
      <c r="A15" s="37" t="s">
        <v>176</v>
      </c>
      <c r="B15" s="38" t="s">
        <v>84</v>
      </c>
      <c r="C15" s="39" t="b">
        <v>1</v>
      </c>
      <c r="D15" s="39" t="b">
        <v>1</v>
      </c>
      <c r="E15" s="39" t="b">
        <v>0</v>
      </c>
      <c r="F15" s="39" t="b">
        <v>1</v>
      </c>
      <c r="G15" s="39" t="b">
        <v>0</v>
      </c>
      <c r="H15" s="18" t="s">
        <v>264</v>
      </c>
      <c r="I15" s="5">
        <f t="shared" si="0"/>
        <v>0.6</v>
      </c>
      <c r="J15" s="20" t="str">
        <f t="shared" si="1"/>
        <v>Sim</v>
      </c>
    </row>
    <row r="16" spans="1:10" ht="30" customHeight="1" x14ac:dyDescent="0.25">
      <c r="A16" s="37" t="s">
        <v>177</v>
      </c>
      <c r="B16" s="38" t="s">
        <v>85</v>
      </c>
      <c r="C16" s="39" t="b">
        <v>0</v>
      </c>
      <c r="D16" s="39" t="b">
        <v>1</v>
      </c>
      <c r="E16" s="39" t="b">
        <v>0</v>
      </c>
      <c r="F16" s="39" t="b">
        <v>0</v>
      </c>
      <c r="G16" s="39" t="b">
        <v>0</v>
      </c>
      <c r="H16" s="20" t="s">
        <v>266</v>
      </c>
      <c r="I16" s="5">
        <f t="shared" si="0"/>
        <v>0.2</v>
      </c>
      <c r="J16" s="20" t="str">
        <f t="shared" si="1"/>
        <v>Não</v>
      </c>
    </row>
    <row r="17" spans="1:10" ht="30" customHeight="1" x14ac:dyDescent="0.25">
      <c r="A17" s="37" t="s">
        <v>178</v>
      </c>
      <c r="B17" s="38" t="s">
        <v>86</v>
      </c>
      <c r="C17" s="39" t="b">
        <v>0</v>
      </c>
      <c r="D17" s="39" t="b">
        <v>0</v>
      </c>
      <c r="E17" s="39" t="b">
        <v>0</v>
      </c>
      <c r="F17" s="39" t="b">
        <v>1</v>
      </c>
      <c r="G17" s="39" t="b">
        <v>0</v>
      </c>
      <c r="H17" s="20" t="s">
        <v>266</v>
      </c>
      <c r="I17" s="5">
        <f t="shared" si="0"/>
        <v>0.2</v>
      </c>
      <c r="J17" s="20" t="str">
        <f t="shared" si="1"/>
        <v>Não</v>
      </c>
    </row>
    <row r="18" spans="1:10" ht="30" customHeight="1" x14ac:dyDescent="0.25">
      <c r="A18" s="37" t="s">
        <v>179</v>
      </c>
      <c r="B18" s="40" t="s">
        <v>88</v>
      </c>
      <c r="C18" s="41" t="b">
        <v>1</v>
      </c>
      <c r="D18" s="41" t="b">
        <v>0</v>
      </c>
      <c r="E18" s="41" t="b">
        <v>1</v>
      </c>
      <c r="F18" s="41" t="b">
        <v>1</v>
      </c>
      <c r="G18" s="41" t="b">
        <v>1</v>
      </c>
      <c r="H18" s="6" t="s">
        <v>264</v>
      </c>
      <c r="I18" s="6">
        <f t="shared" si="0"/>
        <v>0.8</v>
      </c>
      <c r="J18" s="24" t="str">
        <f t="shared" si="1"/>
        <v>Sim</v>
      </c>
    </row>
    <row r="19" spans="1:10" ht="30" customHeight="1" x14ac:dyDescent="0.25">
      <c r="A19" s="37" t="s">
        <v>180</v>
      </c>
      <c r="B19" s="40" t="s">
        <v>89</v>
      </c>
      <c r="C19" s="41" t="b">
        <v>1</v>
      </c>
      <c r="D19" s="41" t="b">
        <v>0</v>
      </c>
      <c r="E19" s="41" t="b">
        <v>1</v>
      </c>
      <c r="F19" s="41" t="b">
        <v>1</v>
      </c>
      <c r="G19" s="41" t="b">
        <v>1</v>
      </c>
      <c r="H19" s="6" t="s">
        <v>264</v>
      </c>
      <c r="I19" s="6">
        <f t="shared" si="0"/>
        <v>0.8</v>
      </c>
      <c r="J19" s="24" t="str">
        <f t="shared" si="1"/>
        <v>Sim</v>
      </c>
    </row>
    <row r="20" spans="1:10" ht="30" customHeight="1" x14ac:dyDescent="0.25">
      <c r="A20" s="37" t="s">
        <v>181</v>
      </c>
      <c r="B20" s="40" t="s">
        <v>90</v>
      </c>
      <c r="C20" s="41" t="b">
        <v>1</v>
      </c>
      <c r="D20" s="41" t="b">
        <v>0</v>
      </c>
      <c r="E20" s="41" t="b">
        <v>1</v>
      </c>
      <c r="F20" s="41" t="b">
        <v>1</v>
      </c>
      <c r="G20" s="41" t="b">
        <v>1</v>
      </c>
      <c r="H20" s="6" t="s">
        <v>264</v>
      </c>
      <c r="I20" s="6">
        <f t="shared" si="0"/>
        <v>0.8</v>
      </c>
      <c r="J20" s="24" t="str">
        <f t="shared" si="1"/>
        <v>Sim</v>
      </c>
    </row>
    <row r="21" spans="1:10" ht="30" customHeight="1" x14ac:dyDescent="0.25">
      <c r="A21" s="37" t="s">
        <v>182</v>
      </c>
      <c r="B21" s="40" t="s">
        <v>93</v>
      </c>
      <c r="C21" s="41" t="b">
        <v>1</v>
      </c>
      <c r="D21" s="41" t="b">
        <v>0</v>
      </c>
      <c r="E21" s="41" t="b">
        <v>1</v>
      </c>
      <c r="F21" s="41" t="b">
        <v>1</v>
      </c>
      <c r="G21" s="41" t="b">
        <v>1</v>
      </c>
      <c r="H21" s="6" t="s">
        <v>264</v>
      </c>
      <c r="I21" s="6">
        <f t="shared" si="0"/>
        <v>0.8</v>
      </c>
      <c r="J21" s="24" t="str">
        <f t="shared" si="1"/>
        <v>Sim</v>
      </c>
    </row>
    <row r="22" spans="1:10" ht="30" customHeight="1" x14ac:dyDescent="0.25">
      <c r="A22" s="37" t="s">
        <v>183</v>
      </c>
      <c r="B22" s="40" t="s">
        <v>94</v>
      </c>
      <c r="C22" s="41" t="b">
        <v>1</v>
      </c>
      <c r="D22" s="41" t="b">
        <v>0</v>
      </c>
      <c r="E22" s="41" t="b">
        <v>1</v>
      </c>
      <c r="F22" s="41" t="b">
        <v>1</v>
      </c>
      <c r="G22" s="41" t="b">
        <v>0</v>
      </c>
      <c r="H22" s="6" t="s">
        <v>265</v>
      </c>
      <c r="I22" s="6">
        <f t="shared" si="0"/>
        <v>0.6</v>
      </c>
      <c r="J22" s="24" t="str">
        <f t="shared" si="1"/>
        <v>Sim</v>
      </c>
    </row>
    <row r="23" spans="1:10" ht="30" customHeight="1" x14ac:dyDescent="0.25">
      <c r="A23" s="37" t="s">
        <v>184</v>
      </c>
      <c r="B23" s="40" t="s">
        <v>91</v>
      </c>
      <c r="C23" s="41" t="b">
        <v>0</v>
      </c>
      <c r="D23" s="41" t="b">
        <v>1</v>
      </c>
      <c r="E23" s="41" t="b">
        <v>0</v>
      </c>
      <c r="F23" s="41" t="b">
        <v>0</v>
      </c>
      <c r="G23" s="41" t="b">
        <v>0</v>
      </c>
      <c r="H23" s="6" t="s">
        <v>265</v>
      </c>
      <c r="I23" s="6">
        <f t="shared" si="0"/>
        <v>0.2</v>
      </c>
      <c r="J23" s="24" t="str">
        <f t="shared" si="1"/>
        <v>Não</v>
      </c>
    </row>
    <row r="24" spans="1:10" ht="30" customHeight="1" x14ac:dyDescent="0.25">
      <c r="A24" s="37" t="s">
        <v>185</v>
      </c>
      <c r="B24" s="40" t="s">
        <v>92</v>
      </c>
      <c r="C24" s="41" t="b">
        <v>0</v>
      </c>
      <c r="D24" s="41" t="b">
        <v>1</v>
      </c>
      <c r="E24" s="41" t="b">
        <v>0</v>
      </c>
      <c r="F24" s="41" t="b">
        <v>0</v>
      </c>
      <c r="G24" s="41" t="b">
        <v>0</v>
      </c>
      <c r="H24" s="6" t="s">
        <v>265</v>
      </c>
      <c r="I24" s="6">
        <f t="shared" si="0"/>
        <v>0.2</v>
      </c>
      <c r="J24" s="24" t="str">
        <f t="shared" si="1"/>
        <v>Não</v>
      </c>
    </row>
    <row r="25" spans="1:10" ht="30" customHeight="1" x14ac:dyDescent="0.25">
      <c r="A25" s="37" t="s">
        <v>186</v>
      </c>
      <c r="B25" s="40" t="s">
        <v>267</v>
      </c>
      <c r="C25" s="41" t="b">
        <v>0</v>
      </c>
      <c r="D25" s="41" t="b">
        <v>1</v>
      </c>
      <c r="E25" s="41" t="b">
        <v>0</v>
      </c>
      <c r="F25" s="41" t="b">
        <v>0</v>
      </c>
      <c r="G25" s="41" t="b">
        <v>0</v>
      </c>
      <c r="H25" s="6" t="s">
        <v>265</v>
      </c>
      <c r="I25" s="6">
        <f t="shared" si="0"/>
        <v>0.2</v>
      </c>
      <c r="J25" s="24" t="str">
        <f t="shared" si="1"/>
        <v>Não</v>
      </c>
    </row>
    <row r="26" spans="1:10" ht="30" customHeight="1" x14ac:dyDescent="0.25">
      <c r="A26" s="37" t="s">
        <v>187</v>
      </c>
      <c r="B26" s="40" t="s">
        <v>268</v>
      </c>
      <c r="C26" s="41" t="b">
        <v>0</v>
      </c>
      <c r="D26" s="41" t="b">
        <v>1</v>
      </c>
      <c r="E26" s="41" t="b">
        <v>0</v>
      </c>
      <c r="F26" s="41" t="b">
        <v>0</v>
      </c>
      <c r="G26" s="41" t="b">
        <v>0</v>
      </c>
      <c r="H26" s="6" t="s">
        <v>264</v>
      </c>
      <c r="I26" s="6">
        <f t="shared" si="0"/>
        <v>0.2</v>
      </c>
      <c r="J26" s="24" t="str">
        <f t="shared" si="1"/>
        <v>Não</v>
      </c>
    </row>
    <row r="27" spans="1:10" ht="30" customHeight="1" x14ac:dyDescent="0.25">
      <c r="A27" s="37" t="s">
        <v>188</v>
      </c>
      <c r="B27" s="40" t="s">
        <v>98</v>
      </c>
      <c r="C27" s="41" t="b">
        <v>0</v>
      </c>
      <c r="D27" s="41" t="b">
        <v>1</v>
      </c>
      <c r="E27" s="41" t="b">
        <v>0</v>
      </c>
      <c r="F27" s="41" t="b">
        <v>0</v>
      </c>
      <c r="G27" s="41" t="b">
        <v>0</v>
      </c>
      <c r="H27" s="6" t="s">
        <v>265</v>
      </c>
      <c r="I27" s="6">
        <f t="shared" si="0"/>
        <v>0.2</v>
      </c>
      <c r="J27" s="24" t="str">
        <f t="shared" si="1"/>
        <v>Não</v>
      </c>
    </row>
    <row r="28" spans="1:10" ht="30" customHeight="1" x14ac:dyDescent="0.25">
      <c r="A28" s="37" t="s">
        <v>189</v>
      </c>
      <c r="B28" s="40" t="s">
        <v>99</v>
      </c>
      <c r="C28" s="41" t="b">
        <v>0</v>
      </c>
      <c r="D28" s="41" t="b">
        <v>1</v>
      </c>
      <c r="E28" s="41" t="b">
        <v>0</v>
      </c>
      <c r="F28" s="41" t="b">
        <v>0</v>
      </c>
      <c r="G28" s="41" t="b">
        <v>0</v>
      </c>
      <c r="H28" s="6" t="s">
        <v>265</v>
      </c>
      <c r="I28" s="6">
        <f t="shared" si="0"/>
        <v>0.2</v>
      </c>
      <c r="J28" s="24" t="str">
        <f t="shared" si="1"/>
        <v>Não</v>
      </c>
    </row>
    <row r="29" spans="1:10" ht="30" customHeight="1" x14ac:dyDescent="0.25">
      <c r="A29" s="37" t="s">
        <v>190</v>
      </c>
      <c r="B29" s="40" t="s">
        <v>257</v>
      </c>
      <c r="C29" s="41" t="b">
        <v>0</v>
      </c>
      <c r="D29" s="41" t="b">
        <v>1</v>
      </c>
      <c r="E29" s="41" t="b">
        <v>1</v>
      </c>
      <c r="F29" s="41" t="b">
        <v>0</v>
      </c>
      <c r="G29" s="41" t="b">
        <v>1</v>
      </c>
      <c r="H29" s="6" t="s">
        <v>264</v>
      </c>
      <c r="I29" s="6">
        <f t="shared" si="0"/>
        <v>0.6</v>
      </c>
      <c r="J29" s="24" t="str">
        <f t="shared" si="1"/>
        <v>Sim</v>
      </c>
    </row>
    <row r="30" spans="1:10" ht="30" customHeight="1" x14ac:dyDescent="0.25">
      <c r="A30" s="37" t="s">
        <v>191</v>
      </c>
      <c r="B30" s="40" t="s">
        <v>44</v>
      </c>
      <c r="C30" s="41" t="b">
        <v>1</v>
      </c>
      <c r="D30" s="41" t="b">
        <v>1</v>
      </c>
      <c r="E30" s="41" t="b">
        <v>1</v>
      </c>
      <c r="F30" s="41" t="b">
        <v>1</v>
      </c>
      <c r="G30" s="41" t="b">
        <v>0</v>
      </c>
      <c r="H30" s="6" t="s">
        <v>264</v>
      </c>
      <c r="I30" s="6">
        <f t="shared" si="0"/>
        <v>0.8</v>
      </c>
      <c r="J30" s="24" t="str">
        <f t="shared" si="1"/>
        <v>Sim</v>
      </c>
    </row>
    <row r="31" spans="1:10" ht="30" customHeight="1" x14ac:dyDescent="0.25">
      <c r="A31" s="37" t="s">
        <v>192</v>
      </c>
      <c r="B31" s="40" t="s">
        <v>95</v>
      </c>
      <c r="C31" s="41" t="b">
        <v>0</v>
      </c>
      <c r="D31" s="41" t="b">
        <v>0</v>
      </c>
      <c r="E31" s="41" t="b">
        <v>0</v>
      </c>
      <c r="F31" s="41" t="b">
        <v>1</v>
      </c>
      <c r="G31" s="41" t="b">
        <v>0</v>
      </c>
      <c r="H31" s="6" t="s">
        <v>266</v>
      </c>
      <c r="I31" s="6">
        <f t="shared" si="0"/>
        <v>0.2</v>
      </c>
      <c r="J31" s="24" t="str">
        <f t="shared" si="1"/>
        <v>Não</v>
      </c>
    </row>
    <row r="32" spans="1:10" ht="30" customHeight="1" x14ac:dyDescent="0.25">
      <c r="A32" s="37" t="s">
        <v>193</v>
      </c>
      <c r="B32" s="40" t="s">
        <v>97</v>
      </c>
      <c r="C32" s="41" t="b">
        <v>0</v>
      </c>
      <c r="D32" s="41" t="b">
        <v>0</v>
      </c>
      <c r="E32" s="41" t="b">
        <v>0</v>
      </c>
      <c r="F32" s="41" t="b">
        <v>1</v>
      </c>
      <c r="G32" s="41" t="b">
        <v>0</v>
      </c>
      <c r="H32" s="6" t="s">
        <v>265</v>
      </c>
      <c r="I32" s="6">
        <f t="shared" si="0"/>
        <v>0.2</v>
      </c>
      <c r="J32" s="24" t="str">
        <f t="shared" si="1"/>
        <v>Não</v>
      </c>
    </row>
    <row r="33" spans="1:10" ht="30" customHeight="1" x14ac:dyDescent="0.25">
      <c r="A33" s="37" t="s">
        <v>194</v>
      </c>
      <c r="B33" s="40" t="s">
        <v>96</v>
      </c>
      <c r="C33" s="41" t="b">
        <v>0</v>
      </c>
      <c r="D33" s="41" t="b">
        <v>0</v>
      </c>
      <c r="E33" s="41" t="b">
        <v>0</v>
      </c>
      <c r="F33" s="41" t="b">
        <v>1</v>
      </c>
      <c r="G33" s="41" t="b">
        <v>0</v>
      </c>
      <c r="H33" s="6" t="s">
        <v>265</v>
      </c>
      <c r="I33" s="6">
        <f t="shared" si="0"/>
        <v>0.2</v>
      </c>
      <c r="J33" s="24" t="str">
        <f t="shared" si="1"/>
        <v>Não</v>
      </c>
    </row>
    <row r="34" spans="1:10" ht="30" customHeight="1" x14ac:dyDescent="0.25">
      <c r="A34" s="37" t="s">
        <v>195</v>
      </c>
      <c r="B34" s="42" t="s">
        <v>100</v>
      </c>
      <c r="C34" s="43" t="b">
        <v>1</v>
      </c>
      <c r="D34" s="43" t="b">
        <v>0</v>
      </c>
      <c r="E34" s="43" t="b">
        <v>1</v>
      </c>
      <c r="F34" s="43" t="b">
        <v>1</v>
      </c>
      <c r="G34" s="43" t="b">
        <v>0</v>
      </c>
      <c r="H34" s="7" t="s">
        <v>264</v>
      </c>
      <c r="I34" s="7">
        <f t="shared" ref="I34:I65" si="2">COUNTIF(C34:G34, TRUE) / 5</f>
        <v>0.6</v>
      </c>
      <c r="J34" s="25" t="str">
        <f t="shared" ref="J34:J65" si="3">IF(I34 &gt;= 60%, "Sim", "Não")</f>
        <v>Sim</v>
      </c>
    </row>
    <row r="35" spans="1:10" ht="30" customHeight="1" x14ac:dyDescent="0.25">
      <c r="A35" s="37" t="s">
        <v>196</v>
      </c>
      <c r="B35" s="42" t="s">
        <v>101</v>
      </c>
      <c r="C35" s="43" t="b">
        <v>1</v>
      </c>
      <c r="D35" s="43" t="b">
        <v>0</v>
      </c>
      <c r="E35" s="43" t="b">
        <v>1</v>
      </c>
      <c r="F35" s="43" t="b">
        <v>1</v>
      </c>
      <c r="G35" s="43" t="b">
        <v>0</v>
      </c>
      <c r="H35" s="7" t="s">
        <v>264</v>
      </c>
      <c r="I35" s="7">
        <f t="shared" si="2"/>
        <v>0.6</v>
      </c>
      <c r="J35" s="25" t="str">
        <f t="shared" si="3"/>
        <v>Sim</v>
      </c>
    </row>
    <row r="36" spans="1:10" ht="30" customHeight="1" x14ac:dyDescent="0.25">
      <c r="A36" s="37" t="s">
        <v>197</v>
      </c>
      <c r="B36" s="42" t="s">
        <v>102</v>
      </c>
      <c r="C36" s="43" t="b">
        <v>1</v>
      </c>
      <c r="D36" s="43" t="b">
        <v>0</v>
      </c>
      <c r="E36" s="43" t="b">
        <v>1</v>
      </c>
      <c r="F36" s="43" t="b">
        <v>1</v>
      </c>
      <c r="G36" s="43" t="b">
        <v>0</v>
      </c>
      <c r="H36" s="7" t="s">
        <v>264</v>
      </c>
      <c r="I36" s="7">
        <f t="shared" si="2"/>
        <v>0.6</v>
      </c>
      <c r="J36" s="25" t="str">
        <f t="shared" si="3"/>
        <v>Sim</v>
      </c>
    </row>
    <row r="37" spans="1:10" ht="30" customHeight="1" x14ac:dyDescent="0.25">
      <c r="A37" s="37" t="s">
        <v>198</v>
      </c>
      <c r="B37" s="42" t="s">
        <v>35</v>
      </c>
      <c r="C37" s="43" t="b">
        <v>1</v>
      </c>
      <c r="D37" s="43" t="b">
        <v>1</v>
      </c>
      <c r="E37" s="43" t="b">
        <v>1</v>
      </c>
      <c r="F37" s="43" t="b">
        <v>1</v>
      </c>
      <c r="G37" s="43" t="b">
        <v>0</v>
      </c>
      <c r="H37" s="7" t="s">
        <v>264</v>
      </c>
      <c r="I37" s="7">
        <f t="shared" si="2"/>
        <v>0.8</v>
      </c>
      <c r="J37" s="25" t="str">
        <f t="shared" si="3"/>
        <v>Sim</v>
      </c>
    </row>
    <row r="38" spans="1:10" ht="30" customHeight="1" x14ac:dyDescent="0.25">
      <c r="A38" s="37" t="s">
        <v>199</v>
      </c>
      <c r="B38" s="42" t="s">
        <v>103</v>
      </c>
      <c r="C38" s="43" t="b">
        <v>1</v>
      </c>
      <c r="D38" s="43" t="b">
        <v>1</v>
      </c>
      <c r="E38" s="43" t="b">
        <v>1</v>
      </c>
      <c r="F38" s="43" t="b">
        <v>1</v>
      </c>
      <c r="G38" s="43" t="b">
        <v>0</v>
      </c>
      <c r="H38" s="7" t="s">
        <v>264</v>
      </c>
      <c r="I38" s="7">
        <f t="shared" si="2"/>
        <v>0.8</v>
      </c>
      <c r="J38" s="25" t="str">
        <f t="shared" si="3"/>
        <v>Sim</v>
      </c>
    </row>
    <row r="39" spans="1:10" ht="30" customHeight="1" x14ac:dyDescent="0.25">
      <c r="A39" s="37" t="s">
        <v>200</v>
      </c>
      <c r="B39" s="42" t="s">
        <v>104</v>
      </c>
      <c r="C39" s="43" t="b">
        <v>0</v>
      </c>
      <c r="D39" s="43" t="b">
        <v>1</v>
      </c>
      <c r="E39" s="43" t="b">
        <v>0</v>
      </c>
      <c r="F39" s="43" t="b">
        <v>0</v>
      </c>
      <c r="G39" s="43" t="b">
        <v>0</v>
      </c>
      <c r="H39" s="7" t="s">
        <v>265</v>
      </c>
      <c r="I39" s="7">
        <f t="shared" si="2"/>
        <v>0.2</v>
      </c>
      <c r="J39" s="25" t="str">
        <f t="shared" si="3"/>
        <v>Não</v>
      </c>
    </row>
    <row r="40" spans="1:10" ht="30" customHeight="1" x14ac:dyDescent="0.25">
      <c r="A40" s="37" t="s">
        <v>201</v>
      </c>
      <c r="B40" s="42" t="s">
        <v>105</v>
      </c>
      <c r="C40" s="43" t="b">
        <v>0</v>
      </c>
      <c r="D40" s="43" t="b">
        <v>1</v>
      </c>
      <c r="E40" s="43" t="b">
        <v>0</v>
      </c>
      <c r="F40" s="43" t="b">
        <v>0</v>
      </c>
      <c r="G40" s="43" t="b">
        <v>0</v>
      </c>
      <c r="H40" s="7" t="s">
        <v>265</v>
      </c>
      <c r="I40" s="7">
        <f t="shared" si="2"/>
        <v>0.2</v>
      </c>
      <c r="J40" s="25" t="str">
        <f t="shared" si="3"/>
        <v>Não</v>
      </c>
    </row>
    <row r="41" spans="1:10" ht="30" customHeight="1" x14ac:dyDescent="0.25">
      <c r="A41" s="37" t="s">
        <v>202</v>
      </c>
      <c r="B41" s="42" t="s">
        <v>106</v>
      </c>
      <c r="C41" s="43" t="b">
        <v>0</v>
      </c>
      <c r="D41" s="43" t="b">
        <v>1</v>
      </c>
      <c r="E41" s="43" t="b">
        <v>0</v>
      </c>
      <c r="F41" s="43" t="b">
        <v>0</v>
      </c>
      <c r="G41" s="43" t="b">
        <v>0</v>
      </c>
      <c r="H41" s="7" t="s">
        <v>265</v>
      </c>
      <c r="I41" s="7">
        <f t="shared" si="2"/>
        <v>0.2</v>
      </c>
      <c r="J41" s="25" t="str">
        <f t="shared" si="3"/>
        <v>Não</v>
      </c>
    </row>
    <row r="42" spans="1:10" ht="30" customHeight="1" x14ac:dyDescent="0.25">
      <c r="A42" s="37" t="s">
        <v>203</v>
      </c>
      <c r="B42" s="42" t="s">
        <v>107</v>
      </c>
      <c r="C42" s="43" t="b">
        <v>0</v>
      </c>
      <c r="D42" s="43" t="b">
        <v>1</v>
      </c>
      <c r="E42" s="43" t="b">
        <v>0</v>
      </c>
      <c r="F42" s="43" t="b">
        <v>0</v>
      </c>
      <c r="G42" s="43" t="b">
        <v>0</v>
      </c>
      <c r="H42" s="7" t="s">
        <v>265</v>
      </c>
      <c r="I42" s="7">
        <f t="shared" si="2"/>
        <v>0.2</v>
      </c>
      <c r="J42" s="25" t="str">
        <f t="shared" si="3"/>
        <v>Não</v>
      </c>
    </row>
    <row r="43" spans="1:10" ht="30" customHeight="1" x14ac:dyDescent="0.25">
      <c r="A43" s="37" t="s">
        <v>204</v>
      </c>
      <c r="B43" s="42" t="s">
        <v>258</v>
      </c>
      <c r="C43" s="43" t="b">
        <v>1</v>
      </c>
      <c r="D43" s="43" t="b">
        <v>1</v>
      </c>
      <c r="E43" s="43" t="b">
        <v>1</v>
      </c>
      <c r="F43" s="43" t="b">
        <v>1</v>
      </c>
      <c r="G43" s="43" t="b">
        <v>1</v>
      </c>
      <c r="H43" s="7" t="s">
        <v>264</v>
      </c>
      <c r="I43" s="7">
        <f t="shared" si="2"/>
        <v>1</v>
      </c>
      <c r="J43" s="25" t="str">
        <f t="shared" si="3"/>
        <v>Sim</v>
      </c>
    </row>
    <row r="44" spans="1:10" ht="30" customHeight="1" x14ac:dyDescent="0.25">
      <c r="A44" s="37" t="s">
        <v>205</v>
      </c>
      <c r="B44" s="42" t="s">
        <v>60</v>
      </c>
      <c r="C44" s="43" t="b">
        <v>1</v>
      </c>
      <c r="D44" s="43" t="b">
        <v>0</v>
      </c>
      <c r="E44" s="43" t="b">
        <v>1</v>
      </c>
      <c r="F44" s="43" t="b">
        <v>1</v>
      </c>
      <c r="G44" s="43" t="b">
        <v>1</v>
      </c>
      <c r="H44" s="7" t="s">
        <v>264</v>
      </c>
      <c r="I44" s="7">
        <f t="shared" si="2"/>
        <v>0.8</v>
      </c>
      <c r="J44" s="25" t="str">
        <f t="shared" si="3"/>
        <v>Sim</v>
      </c>
    </row>
    <row r="45" spans="1:10" ht="30" customHeight="1" x14ac:dyDescent="0.25">
      <c r="A45" s="37" t="s">
        <v>206</v>
      </c>
      <c r="B45" s="42" t="s">
        <v>59</v>
      </c>
      <c r="C45" s="43" t="b">
        <v>1</v>
      </c>
      <c r="D45" s="43" t="b">
        <v>1</v>
      </c>
      <c r="E45" s="43" t="b">
        <v>1</v>
      </c>
      <c r="F45" s="43" t="b">
        <v>1</v>
      </c>
      <c r="G45" s="43" t="b">
        <v>1</v>
      </c>
      <c r="H45" s="7" t="s">
        <v>264</v>
      </c>
      <c r="I45" s="7">
        <f t="shared" si="2"/>
        <v>1</v>
      </c>
      <c r="J45" s="25" t="str">
        <f t="shared" si="3"/>
        <v>Sim</v>
      </c>
    </row>
    <row r="46" spans="1:10" ht="30" customHeight="1" x14ac:dyDescent="0.25">
      <c r="A46" s="37" t="s">
        <v>207</v>
      </c>
      <c r="B46" s="42" t="s">
        <v>58</v>
      </c>
      <c r="C46" s="43" t="b">
        <v>0</v>
      </c>
      <c r="D46" s="43" t="b">
        <v>1</v>
      </c>
      <c r="E46" s="43" t="b">
        <v>0</v>
      </c>
      <c r="F46" s="43" t="b">
        <v>0</v>
      </c>
      <c r="G46" s="43" t="b">
        <v>0</v>
      </c>
      <c r="H46" s="7" t="s">
        <v>265</v>
      </c>
      <c r="I46" s="7">
        <f t="shared" si="2"/>
        <v>0.2</v>
      </c>
      <c r="J46" s="25" t="str">
        <f t="shared" si="3"/>
        <v>Não</v>
      </c>
    </row>
    <row r="47" spans="1:10" ht="30" customHeight="1" x14ac:dyDescent="0.25">
      <c r="A47" s="37" t="s">
        <v>208</v>
      </c>
      <c r="B47" s="42" t="s">
        <v>34</v>
      </c>
      <c r="C47" s="43" t="b">
        <v>0</v>
      </c>
      <c r="D47" s="43" t="b">
        <v>1</v>
      </c>
      <c r="E47" s="43" t="b">
        <v>0</v>
      </c>
      <c r="F47" s="43" t="b">
        <v>0</v>
      </c>
      <c r="G47" s="43" t="b">
        <v>0</v>
      </c>
      <c r="H47" s="7" t="s">
        <v>265</v>
      </c>
      <c r="I47" s="7">
        <f t="shared" si="2"/>
        <v>0.2</v>
      </c>
      <c r="J47" s="25" t="str">
        <f t="shared" si="3"/>
        <v>Não</v>
      </c>
    </row>
    <row r="48" spans="1:10" ht="30" customHeight="1" x14ac:dyDescent="0.25">
      <c r="A48" s="37" t="s">
        <v>209</v>
      </c>
      <c r="B48" s="42" t="s">
        <v>108</v>
      </c>
      <c r="C48" s="43" t="b">
        <v>0</v>
      </c>
      <c r="D48" s="43" t="b">
        <v>1</v>
      </c>
      <c r="E48" s="43" t="b">
        <v>0</v>
      </c>
      <c r="F48" s="43" t="b">
        <v>0</v>
      </c>
      <c r="G48" s="43" t="b">
        <v>0</v>
      </c>
      <c r="H48" s="7" t="s">
        <v>265</v>
      </c>
      <c r="I48" s="7">
        <f t="shared" si="2"/>
        <v>0.2</v>
      </c>
      <c r="J48" s="25" t="str">
        <f t="shared" si="3"/>
        <v>Não</v>
      </c>
    </row>
    <row r="49" spans="1:10" ht="30" customHeight="1" x14ac:dyDescent="0.25">
      <c r="A49" s="37" t="s">
        <v>210</v>
      </c>
      <c r="B49" s="42" t="s">
        <v>262</v>
      </c>
      <c r="C49" s="43" t="b">
        <v>0</v>
      </c>
      <c r="D49" s="43" t="b">
        <v>1</v>
      </c>
      <c r="E49" s="43" t="b">
        <v>0</v>
      </c>
      <c r="F49" s="43" t="b">
        <v>0</v>
      </c>
      <c r="G49" s="43" t="b">
        <v>0</v>
      </c>
      <c r="H49" s="7" t="s">
        <v>265</v>
      </c>
      <c r="I49" s="7">
        <f t="shared" si="2"/>
        <v>0.2</v>
      </c>
      <c r="J49" s="25" t="str">
        <f t="shared" si="3"/>
        <v>Não</v>
      </c>
    </row>
    <row r="50" spans="1:10" ht="30" customHeight="1" x14ac:dyDescent="0.25">
      <c r="A50" s="37" t="s">
        <v>211</v>
      </c>
      <c r="B50" s="42" t="s">
        <v>109</v>
      </c>
      <c r="C50" s="43" t="b">
        <v>1</v>
      </c>
      <c r="D50" s="43" t="b">
        <v>1</v>
      </c>
      <c r="E50" s="43" t="b">
        <v>1</v>
      </c>
      <c r="F50" s="43" t="b">
        <v>1</v>
      </c>
      <c r="G50" s="43" t="b">
        <v>0</v>
      </c>
      <c r="H50" s="7" t="s">
        <v>264</v>
      </c>
      <c r="I50" s="7">
        <f t="shared" si="2"/>
        <v>0.8</v>
      </c>
      <c r="J50" s="25" t="str">
        <f t="shared" si="3"/>
        <v>Sim</v>
      </c>
    </row>
    <row r="51" spans="1:10" ht="30" customHeight="1" x14ac:dyDescent="0.25">
      <c r="A51" s="37" t="s">
        <v>212</v>
      </c>
      <c r="B51" s="42" t="s">
        <v>261</v>
      </c>
      <c r="C51" s="43" t="b">
        <v>0</v>
      </c>
      <c r="D51" s="43" t="b">
        <v>0</v>
      </c>
      <c r="E51" s="43" t="b">
        <v>1</v>
      </c>
      <c r="F51" s="43" t="b">
        <v>1</v>
      </c>
      <c r="G51" s="43" t="b">
        <v>0</v>
      </c>
      <c r="H51" s="7" t="s">
        <v>265</v>
      </c>
      <c r="I51" s="7">
        <f t="shared" si="2"/>
        <v>0.4</v>
      </c>
      <c r="J51" s="25" t="str">
        <f t="shared" si="3"/>
        <v>Não</v>
      </c>
    </row>
    <row r="52" spans="1:10" ht="30" customHeight="1" x14ac:dyDescent="0.25">
      <c r="A52" s="37" t="s">
        <v>213</v>
      </c>
      <c r="B52" s="42" t="s">
        <v>259</v>
      </c>
      <c r="C52" s="43" t="b">
        <v>0</v>
      </c>
      <c r="D52" s="43" t="b">
        <v>0</v>
      </c>
      <c r="E52" s="43" t="b">
        <v>1</v>
      </c>
      <c r="F52" s="43" t="b">
        <v>1</v>
      </c>
      <c r="G52" s="43" t="b">
        <v>0</v>
      </c>
      <c r="H52" s="7" t="s">
        <v>264</v>
      </c>
      <c r="I52" s="7">
        <f t="shared" si="2"/>
        <v>0.4</v>
      </c>
      <c r="J52" s="25" t="str">
        <f t="shared" si="3"/>
        <v>Não</v>
      </c>
    </row>
    <row r="53" spans="1:10" ht="30" customHeight="1" x14ac:dyDescent="0.25">
      <c r="A53" s="37" t="s">
        <v>214</v>
      </c>
      <c r="B53" s="42" t="s">
        <v>260</v>
      </c>
      <c r="C53" s="43" t="b">
        <v>0</v>
      </c>
      <c r="D53" s="43" t="b">
        <v>0</v>
      </c>
      <c r="E53" s="43" t="b">
        <v>1</v>
      </c>
      <c r="F53" s="43" t="b">
        <v>0</v>
      </c>
      <c r="G53" s="43" t="b">
        <v>0</v>
      </c>
      <c r="H53" s="7" t="s">
        <v>266</v>
      </c>
      <c r="I53" s="7">
        <f t="shared" si="2"/>
        <v>0.2</v>
      </c>
      <c r="J53" s="25" t="str">
        <f t="shared" si="3"/>
        <v>Não</v>
      </c>
    </row>
    <row r="54" spans="1:10" ht="30" customHeight="1" x14ac:dyDescent="0.25">
      <c r="A54" s="37" t="s">
        <v>215</v>
      </c>
      <c r="B54" s="44" t="s">
        <v>110</v>
      </c>
      <c r="C54" s="45" t="b">
        <v>1</v>
      </c>
      <c r="D54" s="45" t="b">
        <v>0</v>
      </c>
      <c r="E54" s="45" t="b">
        <v>1</v>
      </c>
      <c r="F54" s="45" t="b">
        <v>1</v>
      </c>
      <c r="G54" s="45" t="b">
        <v>0</v>
      </c>
      <c r="H54" s="8" t="s">
        <v>264</v>
      </c>
      <c r="I54" s="8">
        <f t="shared" si="2"/>
        <v>0.6</v>
      </c>
      <c r="J54" s="26" t="str">
        <f t="shared" si="3"/>
        <v>Sim</v>
      </c>
    </row>
    <row r="55" spans="1:10" ht="30" customHeight="1" x14ac:dyDescent="0.25">
      <c r="A55" s="37" t="s">
        <v>216</v>
      </c>
      <c r="B55" s="44" t="s">
        <v>111</v>
      </c>
      <c r="C55" s="45" t="b">
        <v>1</v>
      </c>
      <c r="D55" s="45" t="b">
        <v>1</v>
      </c>
      <c r="E55" s="45" t="b">
        <v>1</v>
      </c>
      <c r="F55" s="45" t="b">
        <v>1</v>
      </c>
      <c r="G55" s="45" t="b">
        <v>0</v>
      </c>
      <c r="H55" s="8" t="s">
        <v>264</v>
      </c>
      <c r="I55" s="8">
        <f t="shared" si="2"/>
        <v>0.8</v>
      </c>
      <c r="J55" s="26" t="str">
        <f t="shared" si="3"/>
        <v>Sim</v>
      </c>
    </row>
    <row r="56" spans="1:10" ht="30" customHeight="1" x14ac:dyDescent="0.25">
      <c r="A56" s="37" t="s">
        <v>217</v>
      </c>
      <c r="B56" s="44" t="s">
        <v>112</v>
      </c>
      <c r="C56" s="45" t="b">
        <v>1</v>
      </c>
      <c r="D56" s="45" t="b">
        <v>0</v>
      </c>
      <c r="E56" s="45" t="b">
        <v>1</v>
      </c>
      <c r="F56" s="45" t="b">
        <v>1</v>
      </c>
      <c r="G56" s="45" t="b">
        <v>0</v>
      </c>
      <c r="H56" s="8" t="s">
        <v>264</v>
      </c>
      <c r="I56" s="8">
        <f t="shared" si="2"/>
        <v>0.6</v>
      </c>
      <c r="J56" s="26" t="str">
        <f t="shared" si="3"/>
        <v>Sim</v>
      </c>
    </row>
    <row r="57" spans="1:10" ht="30" customHeight="1" x14ac:dyDescent="0.25">
      <c r="A57" s="37" t="s">
        <v>218</v>
      </c>
      <c r="B57" s="44" t="s">
        <v>113</v>
      </c>
      <c r="C57" s="45" t="b">
        <v>1</v>
      </c>
      <c r="D57" s="45" t="b">
        <v>0</v>
      </c>
      <c r="E57" s="45" t="b">
        <v>1</v>
      </c>
      <c r="F57" s="45" t="b">
        <v>0</v>
      </c>
      <c r="G57" s="45" t="b">
        <v>0</v>
      </c>
      <c r="H57" s="8" t="s">
        <v>264</v>
      </c>
      <c r="I57" s="8">
        <f t="shared" si="2"/>
        <v>0.4</v>
      </c>
      <c r="J57" s="26" t="str">
        <f t="shared" si="3"/>
        <v>Não</v>
      </c>
    </row>
    <row r="58" spans="1:10" ht="30" customHeight="1" x14ac:dyDescent="0.25">
      <c r="A58" s="37" t="s">
        <v>219</v>
      </c>
      <c r="B58" s="44" t="s">
        <v>115</v>
      </c>
      <c r="C58" s="45" t="b">
        <v>1</v>
      </c>
      <c r="D58" s="45" t="b">
        <v>0</v>
      </c>
      <c r="E58" s="45" t="b">
        <v>1</v>
      </c>
      <c r="F58" s="45" t="b">
        <v>1</v>
      </c>
      <c r="G58" s="45" t="b">
        <v>1</v>
      </c>
      <c r="H58" s="8" t="s">
        <v>264</v>
      </c>
      <c r="I58" s="8">
        <f t="shared" si="2"/>
        <v>0.8</v>
      </c>
      <c r="J58" s="26" t="str">
        <f t="shared" si="3"/>
        <v>Sim</v>
      </c>
    </row>
    <row r="59" spans="1:10" ht="30" customHeight="1" x14ac:dyDescent="0.25">
      <c r="A59" s="37" t="s">
        <v>220</v>
      </c>
      <c r="B59" s="44" t="s">
        <v>116</v>
      </c>
      <c r="C59" s="45" t="b">
        <v>1</v>
      </c>
      <c r="D59" s="45" t="b">
        <v>0</v>
      </c>
      <c r="E59" s="45" t="b">
        <v>1</v>
      </c>
      <c r="F59" s="45" t="b">
        <v>1</v>
      </c>
      <c r="G59" s="45" t="b">
        <v>0</v>
      </c>
      <c r="H59" s="8" t="s">
        <v>264</v>
      </c>
      <c r="I59" s="8">
        <f t="shared" si="2"/>
        <v>0.6</v>
      </c>
      <c r="J59" s="26" t="str">
        <f t="shared" si="3"/>
        <v>Sim</v>
      </c>
    </row>
    <row r="60" spans="1:10" ht="30" customHeight="1" x14ac:dyDescent="0.25">
      <c r="A60" s="37" t="s">
        <v>221</v>
      </c>
      <c r="B60" s="44" t="s">
        <v>117</v>
      </c>
      <c r="C60" s="45" t="b">
        <v>1</v>
      </c>
      <c r="D60" s="45" t="b">
        <v>0</v>
      </c>
      <c r="E60" s="45" t="b">
        <v>1</v>
      </c>
      <c r="F60" s="45" t="b">
        <v>1</v>
      </c>
      <c r="G60" s="45" t="b">
        <v>0</v>
      </c>
      <c r="H60" s="8" t="s">
        <v>264</v>
      </c>
      <c r="I60" s="8">
        <f t="shared" si="2"/>
        <v>0.6</v>
      </c>
      <c r="J60" s="26" t="str">
        <f t="shared" si="3"/>
        <v>Sim</v>
      </c>
    </row>
    <row r="61" spans="1:10" ht="30" customHeight="1" x14ac:dyDescent="0.25">
      <c r="A61" s="37" t="s">
        <v>222</v>
      </c>
      <c r="B61" s="44" t="s">
        <v>118</v>
      </c>
      <c r="C61" s="45" t="b">
        <v>1</v>
      </c>
      <c r="D61" s="45" t="b">
        <v>0</v>
      </c>
      <c r="E61" s="45" t="b">
        <v>1</v>
      </c>
      <c r="F61" s="45" t="b">
        <v>1</v>
      </c>
      <c r="G61" s="45" t="b">
        <v>1</v>
      </c>
      <c r="H61" s="8" t="s">
        <v>264</v>
      </c>
      <c r="I61" s="8">
        <f t="shared" si="2"/>
        <v>0.8</v>
      </c>
      <c r="J61" s="26" t="str">
        <f t="shared" si="3"/>
        <v>Sim</v>
      </c>
    </row>
    <row r="62" spans="1:10" ht="30" customHeight="1" x14ac:dyDescent="0.25">
      <c r="A62" s="37" t="s">
        <v>223</v>
      </c>
      <c r="B62" s="44" t="s">
        <v>11</v>
      </c>
      <c r="C62" s="45" t="b">
        <v>1</v>
      </c>
      <c r="D62" s="45" t="b">
        <v>0</v>
      </c>
      <c r="E62" s="45" t="b">
        <v>1</v>
      </c>
      <c r="F62" s="45" t="b">
        <v>0</v>
      </c>
      <c r="G62" s="45" t="b">
        <v>0</v>
      </c>
      <c r="H62" s="8" t="s">
        <v>266</v>
      </c>
      <c r="I62" s="8">
        <f t="shared" si="2"/>
        <v>0.4</v>
      </c>
      <c r="J62" s="26" t="str">
        <f t="shared" si="3"/>
        <v>Não</v>
      </c>
    </row>
    <row r="63" spans="1:10" ht="30" customHeight="1" x14ac:dyDescent="0.25">
      <c r="A63" s="37" t="s">
        <v>224</v>
      </c>
      <c r="B63" s="44" t="s">
        <v>114</v>
      </c>
      <c r="C63" s="45" t="b">
        <v>1</v>
      </c>
      <c r="D63" s="45" t="b">
        <v>1</v>
      </c>
      <c r="E63" s="45" t="b">
        <v>1</v>
      </c>
      <c r="F63" s="45" t="b">
        <v>0</v>
      </c>
      <c r="G63" s="45" t="b">
        <v>1</v>
      </c>
      <c r="H63" s="8" t="s">
        <v>264</v>
      </c>
      <c r="I63" s="8">
        <f t="shared" si="2"/>
        <v>0.8</v>
      </c>
      <c r="J63" s="26" t="str">
        <f t="shared" si="3"/>
        <v>Sim</v>
      </c>
    </row>
    <row r="64" spans="1:10" ht="30" customHeight="1" x14ac:dyDescent="0.25">
      <c r="A64" s="37" t="s">
        <v>225</v>
      </c>
      <c r="B64" s="44" t="s">
        <v>129</v>
      </c>
      <c r="C64" s="45" t="b">
        <v>0</v>
      </c>
      <c r="D64" s="45" t="b">
        <v>0</v>
      </c>
      <c r="E64" s="45" t="b">
        <v>1</v>
      </c>
      <c r="F64" s="45" t="b">
        <v>1</v>
      </c>
      <c r="G64" s="45" t="b">
        <v>0</v>
      </c>
      <c r="H64" s="8" t="s">
        <v>264</v>
      </c>
      <c r="I64" s="8">
        <f t="shared" si="2"/>
        <v>0.4</v>
      </c>
      <c r="J64" s="26" t="str">
        <f t="shared" si="3"/>
        <v>Não</v>
      </c>
    </row>
    <row r="65" spans="1:10" ht="30" customHeight="1" x14ac:dyDescent="0.25">
      <c r="A65" s="37" t="s">
        <v>226</v>
      </c>
      <c r="B65" s="44" t="s">
        <v>130</v>
      </c>
      <c r="C65" s="45" t="b">
        <v>0</v>
      </c>
      <c r="D65" s="45" t="b">
        <v>0</v>
      </c>
      <c r="E65" s="45" t="b">
        <v>1</v>
      </c>
      <c r="F65" s="45" t="b">
        <v>1</v>
      </c>
      <c r="G65" s="45" t="b">
        <v>0</v>
      </c>
      <c r="H65" s="8" t="s">
        <v>264</v>
      </c>
      <c r="I65" s="8">
        <f t="shared" si="2"/>
        <v>0.4</v>
      </c>
      <c r="J65" s="26" t="str">
        <f t="shared" si="3"/>
        <v>Não</v>
      </c>
    </row>
    <row r="66" spans="1:10" ht="30" customHeight="1" x14ac:dyDescent="0.25">
      <c r="A66" s="37" t="s">
        <v>227</v>
      </c>
      <c r="B66" s="44" t="s">
        <v>131</v>
      </c>
      <c r="C66" s="45" t="b">
        <v>0</v>
      </c>
      <c r="D66" s="45" t="b">
        <v>0</v>
      </c>
      <c r="E66" s="45" t="b">
        <v>1</v>
      </c>
      <c r="F66" s="45" t="b">
        <v>1</v>
      </c>
      <c r="G66" s="45" t="b">
        <v>0</v>
      </c>
      <c r="H66" s="8" t="s">
        <v>264</v>
      </c>
      <c r="I66" s="8">
        <f t="shared" ref="I66:I97" si="4">COUNTIF(C66:G66, TRUE) / 5</f>
        <v>0.4</v>
      </c>
      <c r="J66" s="26" t="str">
        <f t="shared" ref="J66:J97" si="5">IF(I66 &gt;= 60%, "Sim", "Não")</f>
        <v>Não</v>
      </c>
    </row>
    <row r="67" spans="1:10" ht="30" customHeight="1" x14ac:dyDescent="0.25">
      <c r="A67" s="37" t="s">
        <v>228</v>
      </c>
      <c r="B67" s="44" t="s">
        <v>132</v>
      </c>
      <c r="C67" s="45" t="b">
        <v>0</v>
      </c>
      <c r="D67" s="45" t="b">
        <v>0</v>
      </c>
      <c r="E67" s="45" t="b">
        <v>0</v>
      </c>
      <c r="F67" s="45" t="b">
        <v>1</v>
      </c>
      <c r="G67" s="45" t="b">
        <v>0</v>
      </c>
      <c r="H67" s="8" t="s">
        <v>266</v>
      </c>
      <c r="I67" s="8">
        <f t="shared" si="4"/>
        <v>0.2</v>
      </c>
      <c r="J67" s="26" t="str">
        <f t="shared" si="5"/>
        <v>Não</v>
      </c>
    </row>
    <row r="68" spans="1:10" ht="30" customHeight="1" x14ac:dyDescent="0.25">
      <c r="A68" s="37" t="s">
        <v>229</v>
      </c>
      <c r="B68" s="44" t="s">
        <v>133</v>
      </c>
      <c r="C68" s="45" t="b">
        <v>0</v>
      </c>
      <c r="D68" s="45" t="b">
        <v>0</v>
      </c>
      <c r="E68" s="45" t="b">
        <v>0</v>
      </c>
      <c r="F68" s="45" t="b">
        <v>1</v>
      </c>
      <c r="G68" s="45" t="b">
        <v>0</v>
      </c>
      <c r="H68" s="8" t="s">
        <v>265</v>
      </c>
      <c r="I68" s="8">
        <f t="shared" si="4"/>
        <v>0.2</v>
      </c>
      <c r="J68" s="26" t="str">
        <f t="shared" si="5"/>
        <v>Não</v>
      </c>
    </row>
    <row r="69" spans="1:10" ht="30" customHeight="1" x14ac:dyDescent="0.25">
      <c r="A69" s="37" t="s">
        <v>230</v>
      </c>
      <c r="B69" s="44" t="s">
        <v>134</v>
      </c>
      <c r="C69" s="45" t="b">
        <v>0</v>
      </c>
      <c r="D69" s="45" t="b">
        <v>0</v>
      </c>
      <c r="E69" s="45" t="b">
        <v>0</v>
      </c>
      <c r="F69" s="45" t="b">
        <v>1</v>
      </c>
      <c r="G69" s="45" t="b">
        <v>0</v>
      </c>
      <c r="H69" s="8" t="s">
        <v>264</v>
      </c>
      <c r="I69" s="8">
        <f t="shared" si="4"/>
        <v>0.2</v>
      </c>
      <c r="J69" s="26" t="str">
        <f t="shared" si="5"/>
        <v>Não</v>
      </c>
    </row>
    <row r="70" spans="1:10" ht="30" customHeight="1" x14ac:dyDescent="0.25">
      <c r="A70" s="37" t="s">
        <v>231</v>
      </c>
      <c r="B70" s="44" t="s">
        <v>135</v>
      </c>
      <c r="C70" s="45" t="b">
        <v>0</v>
      </c>
      <c r="D70" s="45" t="b">
        <v>0</v>
      </c>
      <c r="E70" s="45" t="b">
        <v>0</v>
      </c>
      <c r="F70" s="45" t="b">
        <v>1</v>
      </c>
      <c r="G70" s="45" t="b">
        <v>0</v>
      </c>
      <c r="H70" s="8" t="s">
        <v>264</v>
      </c>
      <c r="I70" s="8">
        <f t="shared" si="4"/>
        <v>0.2</v>
      </c>
      <c r="J70" s="26" t="str">
        <f t="shared" si="5"/>
        <v>Não</v>
      </c>
    </row>
    <row r="71" spans="1:10" ht="30" customHeight="1" x14ac:dyDescent="0.25">
      <c r="A71" s="37" t="s">
        <v>232</v>
      </c>
      <c r="B71" s="44" t="s">
        <v>136</v>
      </c>
      <c r="C71" s="45" t="b">
        <v>0</v>
      </c>
      <c r="D71" s="45" t="b">
        <v>0</v>
      </c>
      <c r="E71" s="45" t="b">
        <v>0</v>
      </c>
      <c r="F71" s="45" t="b">
        <v>1</v>
      </c>
      <c r="G71" s="45" t="b">
        <v>0</v>
      </c>
      <c r="H71" s="8" t="s">
        <v>264</v>
      </c>
      <c r="I71" s="8">
        <f t="shared" si="4"/>
        <v>0.2</v>
      </c>
      <c r="J71" s="26" t="str">
        <f t="shared" si="5"/>
        <v>Não</v>
      </c>
    </row>
    <row r="72" spans="1:10" ht="30" customHeight="1" x14ac:dyDescent="0.25">
      <c r="A72" s="37" t="s">
        <v>233</v>
      </c>
      <c r="B72" s="44" t="s">
        <v>54</v>
      </c>
      <c r="C72" s="45" t="b">
        <v>0</v>
      </c>
      <c r="D72" s="45" t="b">
        <v>0</v>
      </c>
      <c r="E72" s="45" t="b">
        <v>1</v>
      </c>
      <c r="F72" s="45" t="b">
        <v>1</v>
      </c>
      <c r="G72" s="45" t="b">
        <v>0</v>
      </c>
      <c r="H72" s="8" t="s">
        <v>265</v>
      </c>
      <c r="I72" s="8">
        <f t="shared" si="4"/>
        <v>0.4</v>
      </c>
      <c r="J72" s="26" t="str">
        <f t="shared" si="5"/>
        <v>Não</v>
      </c>
    </row>
    <row r="73" spans="1:10" ht="30" customHeight="1" x14ac:dyDescent="0.25">
      <c r="A73" s="37" t="s">
        <v>234</v>
      </c>
      <c r="B73" s="44" t="s">
        <v>137</v>
      </c>
      <c r="C73" s="45" t="b">
        <v>0</v>
      </c>
      <c r="D73" s="45" t="b">
        <v>0</v>
      </c>
      <c r="E73" s="45" t="b">
        <v>1</v>
      </c>
      <c r="F73" s="45" t="b">
        <v>1</v>
      </c>
      <c r="G73" s="45" t="b">
        <v>0</v>
      </c>
      <c r="H73" s="8" t="s">
        <v>265</v>
      </c>
      <c r="I73" s="8">
        <f t="shared" si="4"/>
        <v>0.4</v>
      </c>
      <c r="J73" s="26" t="str">
        <f t="shared" si="5"/>
        <v>Não</v>
      </c>
    </row>
    <row r="74" spans="1:10" ht="30" customHeight="1" x14ac:dyDescent="0.25">
      <c r="A74" s="37" t="s">
        <v>235</v>
      </c>
      <c r="B74" s="44" t="s">
        <v>120</v>
      </c>
      <c r="C74" s="45" t="b">
        <v>0</v>
      </c>
      <c r="D74" s="45" t="b">
        <v>1</v>
      </c>
      <c r="E74" s="45" t="b">
        <v>0</v>
      </c>
      <c r="F74" s="45" t="b">
        <v>0</v>
      </c>
      <c r="G74" s="45" t="b">
        <v>0</v>
      </c>
      <c r="H74" s="8" t="s">
        <v>264</v>
      </c>
      <c r="I74" s="8">
        <f t="shared" si="4"/>
        <v>0.2</v>
      </c>
      <c r="J74" s="26" t="str">
        <f t="shared" si="5"/>
        <v>Não</v>
      </c>
    </row>
    <row r="75" spans="1:10" ht="30" customHeight="1" x14ac:dyDescent="0.25">
      <c r="A75" s="37" t="s">
        <v>236</v>
      </c>
      <c r="B75" s="44" t="s">
        <v>119</v>
      </c>
      <c r="C75" s="45" t="b">
        <v>0</v>
      </c>
      <c r="D75" s="45" t="b">
        <v>1</v>
      </c>
      <c r="E75" s="45" t="b">
        <v>0</v>
      </c>
      <c r="F75" s="45" t="b">
        <v>0</v>
      </c>
      <c r="G75" s="45" t="b">
        <v>0</v>
      </c>
      <c r="H75" s="8" t="s">
        <v>264</v>
      </c>
      <c r="I75" s="8">
        <f t="shared" si="4"/>
        <v>0.2</v>
      </c>
      <c r="J75" s="26" t="str">
        <f t="shared" si="5"/>
        <v>Não</v>
      </c>
    </row>
    <row r="76" spans="1:10" ht="30" customHeight="1" x14ac:dyDescent="0.25">
      <c r="A76" s="37" t="s">
        <v>237</v>
      </c>
      <c r="B76" s="44" t="s">
        <v>123</v>
      </c>
      <c r="C76" s="45" t="b">
        <v>1</v>
      </c>
      <c r="D76" s="45" t="b">
        <v>1</v>
      </c>
      <c r="E76" s="45" t="b">
        <v>0</v>
      </c>
      <c r="F76" s="45" t="b">
        <v>1</v>
      </c>
      <c r="G76" s="45" t="b">
        <v>1</v>
      </c>
      <c r="H76" s="8" t="s">
        <v>264</v>
      </c>
      <c r="I76" s="8">
        <f t="shared" si="4"/>
        <v>0.8</v>
      </c>
      <c r="J76" s="26" t="str">
        <f t="shared" si="5"/>
        <v>Sim</v>
      </c>
    </row>
    <row r="77" spans="1:10" ht="30" customHeight="1" x14ac:dyDescent="0.25">
      <c r="A77" s="37" t="s">
        <v>238</v>
      </c>
      <c r="B77" s="44" t="s">
        <v>122</v>
      </c>
      <c r="C77" s="45" t="b">
        <v>1</v>
      </c>
      <c r="D77" s="45" t="b">
        <v>1</v>
      </c>
      <c r="E77" s="45" t="b">
        <v>0</v>
      </c>
      <c r="F77" s="45" t="b">
        <v>1</v>
      </c>
      <c r="G77" s="45" t="b">
        <v>0</v>
      </c>
      <c r="H77" s="8" t="s">
        <v>264</v>
      </c>
      <c r="I77" s="8">
        <f t="shared" si="4"/>
        <v>0.6</v>
      </c>
      <c r="J77" s="26" t="str">
        <f t="shared" si="5"/>
        <v>Sim</v>
      </c>
    </row>
    <row r="78" spans="1:10" ht="30" customHeight="1" x14ac:dyDescent="0.25">
      <c r="A78" s="37" t="s">
        <v>239</v>
      </c>
      <c r="B78" s="44" t="s">
        <v>32</v>
      </c>
      <c r="C78" s="45" t="b">
        <v>0</v>
      </c>
      <c r="D78" s="45" t="b">
        <v>1</v>
      </c>
      <c r="E78" s="45" t="b">
        <v>1</v>
      </c>
      <c r="F78" s="45" t="b">
        <v>1</v>
      </c>
      <c r="G78" s="45" t="b">
        <v>1</v>
      </c>
      <c r="H78" s="8" t="s">
        <v>264</v>
      </c>
      <c r="I78" s="8">
        <f t="shared" si="4"/>
        <v>0.8</v>
      </c>
      <c r="J78" s="26" t="str">
        <f t="shared" si="5"/>
        <v>Sim</v>
      </c>
    </row>
    <row r="79" spans="1:10" ht="30" customHeight="1" x14ac:dyDescent="0.25">
      <c r="A79" s="37" t="s">
        <v>240</v>
      </c>
      <c r="B79" s="44" t="s">
        <v>121</v>
      </c>
      <c r="C79" s="45" t="b">
        <v>1</v>
      </c>
      <c r="D79" s="45" t="b">
        <v>1</v>
      </c>
      <c r="E79" s="45" t="b">
        <v>1</v>
      </c>
      <c r="F79" s="45" t="b">
        <v>1</v>
      </c>
      <c r="G79" s="45" t="b">
        <v>1</v>
      </c>
      <c r="H79" s="8" t="s">
        <v>264</v>
      </c>
      <c r="I79" s="8">
        <f t="shared" si="4"/>
        <v>1</v>
      </c>
      <c r="J79" s="26" t="str">
        <f t="shared" si="5"/>
        <v>Sim</v>
      </c>
    </row>
    <row r="80" spans="1:10" ht="30" customHeight="1" x14ac:dyDescent="0.25">
      <c r="A80" s="37" t="s">
        <v>241</v>
      </c>
      <c r="B80" s="44" t="s">
        <v>124</v>
      </c>
      <c r="C80" s="45" t="b">
        <v>1</v>
      </c>
      <c r="D80" s="45" t="b">
        <v>1</v>
      </c>
      <c r="E80" s="45" t="b">
        <v>0</v>
      </c>
      <c r="F80" s="45" t="b">
        <v>0</v>
      </c>
      <c r="G80" s="45" t="b">
        <v>1</v>
      </c>
      <c r="H80" s="8" t="s">
        <v>264</v>
      </c>
      <c r="I80" s="8">
        <f t="shared" si="4"/>
        <v>0.6</v>
      </c>
      <c r="J80" s="26" t="str">
        <f t="shared" si="5"/>
        <v>Sim</v>
      </c>
    </row>
    <row r="81" spans="1:10" ht="30" customHeight="1" x14ac:dyDescent="0.25">
      <c r="A81" s="37" t="s">
        <v>242</v>
      </c>
      <c r="B81" s="44" t="s">
        <v>138</v>
      </c>
      <c r="C81" s="45" t="b">
        <v>0</v>
      </c>
      <c r="D81" s="45" t="b">
        <v>1</v>
      </c>
      <c r="E81" s="45" t="b">
        <v>0</v>
      </c>
      <c r="F81" s="45" t="b">
        <v>0</v>
      </c>
      <c r="G81" s="45" t="b">
        <v>0</v>
      </c>
      <c r="H81" s="8" t="s">
        <v>265</v>
      </c>
      <c r="I81" s="8">
        <f t="shared" si="4"/>
        <v>0.2</v>
      </c>
      <c r="J81" s="26" t="str">
        <f t="shared" si="5"/>
        <v>Não</v>
      </c>
    </row>
    <row r="82" spans="1:10" ht="30" customHeight="1" x14ac:dyDescent="0.25">
      <c r="A82" s="37" t="s">
        <v>243</v>
      </c>
      <c r="B82" s="44" t="s">
        <v>125</v>
      </c>
      <c r="C82" s="45" t="b">
        <v>0</v>
      </c>
      <c r="D82" s="45" t="b">
        <v>0</v>
      </c>
      <c r="E82" s="45" t="b">
        <v>1</v>
      </c>
      <c r="F82" s="45" t="b">
        <v>0</v>
      </c>
      <c r="G82" s="45" t="b">
        <v>0</v>
      </c>
      <c r="H82" s="8" t="s">
        <v>265</v>
      </c>
      <c r="I82" s="8">
        <f t="shared" si="4"/>
        <v>0.2</v>
      </c>
      <c r="J82" s="26" t="str">
        <f t="shared" si="5"/>
        <v>Não</v>
      </c>
    </row>
    <row r="83" spans="1:10" ht="30" customHeight="1" x14ac:dyDescent="0.25">
      <c r="A83" s="37" t="s">
        <v>244</v>
      </c>
      <c r="B83" s="44" t="s">
        <v>126</v>
      </c>
      <c r="C83" s="45" t="b">
        <v>0</v>
      </c>
      <c r="D83" s="45" t="b">
        <v>1</v>
      </c>
      <c r="E83" s="45" t="b">
        <v>1</v>
      </c>
      <c r="F83" s="45" t="b">
        <v>0</v>
      </c>
      <c r="G83" s="45" t="b">
        <v>1</v>
      </c>
      <c r="H83" s="8" t="s">
        <v>264</v>
      </c>
      <c r="I83" s="8">
        <f t="shared" si="4"/>
        <v>0.6</v>
      </c>
      <c r="J83" s="26" t="str">
        <f t="shared" si="5"/>
        <v>Sim</v>
      </c>
    </row>
    <row r="84" spans="1:10" ht="30" customHeight="1" x14ac:dyDescent="0.25">
      <c r="A84" s="37" t="s">
        <v>245</v>
      </c>
      <c r="B84" s="44" t="s">
        <v>127</v>
      </c>
      <c r="C84" s="45" t="b">
        <v>0</v>
      </c>
      <c r="D84" s="45" t="b">
        <v>1</v>
      </c>
      <c r="E84" s="45" t="b">
        <v>1</v>
      </c>
      <c r="F84" s="45" t="b">
        <v>0</v>
      </c>
      <c r="G84" s="45" t="b">
        <v>1</v>
      </c>
      <c r="H84" s="8" t="s">
        <v>264</v>
      </c>
      <c r="I84" s="8">
        <f t="shared" si="4"/>
        <v>0.6</v>
      </c>
      <c r="J84" s="26" t="str">
        <f t="shared" si="5"/>
        <v>Sim</v>
      </c>
    </row>
    <row r="85" spans="1:10" ht="30" customHeight="1" x14ac:dyDescent="0.25">
      <c r="A85" s="37" t="s">
        <v>246</v>
      </c>
      <c r="B85" s="44" t="s">
        <v>128</v>
      </c>
      <c r="C85" s="45" t="b">
        <v>0</v>
      </c>
      <c r="D85" s="45" t="b">
        <v>0</v>
      </c>
      <c r="E85" s="45" t="b">
        <v>1</v>
      </c>
      <c r="F85" s="45" t="b">
        <v>0</v>
      </c>
      <c r="G85" s="45" t="b">
        <v>0</v>
      </c>
      <c r="H85" s="8" t="s">
        <v>266</v>
      </c>
      <c r="I85" s="8">
        <f t="shared" si="4"/>
        <v>0.2</v>
      </c>
      <c r="J85" s="26" t="str">
        <f t="shared" si="5"/>
        <v>Não</v>
      </c>
    </row>
    <row r="86" spans="1:10" ht="30" customHeight="1" x14ac:dyDescent="0.25">
      <c r="A86" s="37" t="s">
        <v>247</v>
      </c>
      <c r="B86" s="44" t="s">
        <v>45</v>
      </c>
      <c r="C86" s="45" t="b">
        <v>0</v>
      </c>
      <c r="D86" s="45" t="b">
        <v>1</v>
      </c>
      <c r="E86" s="45" t="b">
        <v>1</v>
      </c>
      <c r="F86" s="45" t="b">
        <v>1</v>
      </c>
      <c r="G86" s="45" t="b">
        <v>0</v>
      </c>
      <c r="H86" s="8" t="s">
        <v>264</v>
      </c>
      <c r="I86" s="8">
        <f t="shared" si="4"/>
        <v>0.6</v>
      </c>
      <c r="J86" s="26" t="str">
        <f t="shared" si="5"/>
        <v>Sim</v>
      </c>
    </row>
    <row r="87" spans="1:10" ht="30" customHeight="1" x14ac:dyDescent="0.25">
      <c r="A87" s="37" t="s">
        <v>248</v>
      </c>
      <c r="B87" s="44" t="s">
        <v>46</v>
      </c>
      <c r="C87" s="45" t="b">
        <v>1</v>
      </c>
      <c r="D87" s="45" t="b">
        <v>1</v>
      </c>
      <c r="E87" s="45" t="b">
        <v>1</v>
      </c>
      <c r="F87" s="45" t="b">
        <v>1</v>
      </c>
      <c r="G87" s="45" t="b">
        <v>0</v>
      </c>
      <c r="H87" s="8" t="s">
        <v>264</v>
      </c>
      <c r="I87" s="8">
        <f t="shared" si="4"/>
        <v>0.8</v>
      </c>
      <c r="J87" s="26" t="str">
        <f t="shared" si="5"/>
        <v>Sim</v>
      </c>
    </row>
    <row r="88" spans="1:10" ht="30" customHeight="1" x14ac:dyDescent="0.25">
      <c r="A88" s="37" t="s">
        <v>249</v>
      </c>
      <c r="B88" s="44" t="s">
        <v>53</v>
      </c>
      <c r="C88" s="45" t="b">
        <v>1</v>
      </c>
      <c r="D88" s="45" t="b">
        <v>1</v>
      </c>
      <c r="E88" s="45" t="b">
        <v>0</v>
      </c>
      <c r="F88" s="45" t="b">
        <v>1</v>
      </c>
      <c r="G88" s="45" t="b">
        <v>0</v>
      </c>
      <c r="H88" s="8" t="s">
        <v>264</v>
      </c>
      <c r="I88" s="8">
        <f t="shared" si="4"/>
        <v>0.6</v>
      </c>
      <c r="J88" s="26" t="str">
        <f t="shared" si="5"/>
        <v>Sim</v>
      </c>
    </row>
    <row r="89" spans="1:10" ht="53.25" customHeight="1" x14ac:dyDescent="0.25">
      <c r="A89" s="37" t="s">
        <v>250</v>
      </c>
      <c r="B89" s="44" t="s">
        <v>47</v>
      </c>
      <c r="C89" s="45" t="b">
        <v>0</v>
      </c>
      <c r="D89" s="45" t="b">
        <v>0</v>
      </c>
      <c r="E89" s="45" t="b">
        <v>1</v>
      </c>
      <c r="F89" s="45" t="b">
        <v>0</v>
      </c>
      <c r="G89" s="45" t="b">
        <v>0</v>
      </c>
      <c r="H89" s="8" t="s">
        <v>266</v>
      </c>
      <c r="I89" s="8">
        <f t="shared" si="4"/>
        <v>0.2</v>
      </c>
      <c r="J89" s="26" t="str">
        <f t="shared" si="5"/>
        <v>Não</v>
      </c>
    </row>
    <row r="90" spans="1:10" ht="53.25" customHeight="1" x14ac:dyDescent="0.25">
      <c r="A90" s="37" t="s">
        <v>251</v>
      </c>
      <c r="B90" s="44" t="s">
        <v>48</v>
      </c>
      <c r="C90" s="45" t="b">
        <v>0</v>
      </c>
      <c r="D90" s="45" t="b">
        <v>0</v>
      </c>
      <c r="E90" s="45" t="b">
        <v>1</v>
      </c>
      <c r="F90" s="45" t="b">
        <v>0</v>
      </c>
      <c r="G90" s="45" t="b">
        <v>0</v>
      </c>
      <c r="H90" s="8" t="s">
        <v>266</v>
      </c>
      <c r="I90" s="8">
        <f t="shared" si="4"/>
        <v>0.2</v>
      </c>
      <c r="J90" s="26" t="str">
        <f t="shared" si="5"/>
        <v>Não</v>
      </c>
    </row>
    <row r="91" spans="1:10" ht="30" customHeight="1" x14ac:dyDescent="0.25">
      <c r="A91" s="37" t="s">
        <v>252</v>
      </c>
      <c r="B91" s="44" t="s">
        <v>49</v>
      </c>
      <c r="C91" s="45" t="b">
        <v>0</v>
      </c>
      <c r="D91" s="45" t="b">
        <v>0</v>
      </c>
      <c r="E91" s="45" t="b">
        <v>1</v>
      </c>
      <c r="F91" s="45" t="b">
        <v>0</v>
      </c>
      <c r="G91" s="45" t="b">
        <v>0</v>
      </c>
      <c r="H91" s="8" t="s">
        <v>266</v>
      </c>
      <c r="I91" s="8">
        <f t="shared" si="4"/>
        <v>0.2</v>
      </c>
      <c r="J91" s="26" t="str">
        <f t="shared" si="5"/>
        <v>Não</v>
      </c>
    </row>
    <row r="92" spans="1:10" ht="30" customHeight="1" x14ac:dyDescent="0.25">
      <c r="A92" s="37" t="s">
        <v>253</v>
      </c>
      <c r="B92" s="46" t="s">
        <v>27</v>
      </c>
      <c r="C92" s="47" t="b">
        <v>1</v>
      </c>
      <c r="D92" s="47" t="b">
        <v>0</v>
      </c>
      <c r="E92" s="47" t="b">
        <v>0</v>
      </c>
      <c r="F92" s="47" t="b">
        <v>0</v>
      </c>
      <c r="G92" s="47" t="b">
        <v>0</v>
      </c>
      <c r="H92" s="9" t="s">
        <v>265</v>
      </c>
      <c r="I92" s="9">
        <f t="shared" si="4"/>
        <v>0.2</v>
      </c>
      <c r="J92" s="27" t="str">
        <f t="shared" si="5"/>
        <v>Não</v>
      </c>
    </row>
    <row r="93" spans="1:10" ht="30" customHeight="1" x14ac:dyDescent="0.25">
      <c r="A93" s="37" t="s">
        <v>254</v>
      </c>
      <c r="B93" s="46" t="s">
        <v>28</v>
      </c>
      <c r="C93" s="47" t="b">
        <v>1</v>
      </c>
      <c r="D93" s="47" t="b">
        <v>0</v>
      </c>
      <c r="E93" s="47" t="b">
        <v>1</v>
      </c>
      <c r="F93" s="47" t="b">
        <v>1</v>
      </c>
      <c r="G93" s="47" t="b">
        <v>1</v>
      </c>
      <c r="H93" s="9" t="s">
        <v>264</v>
      </c>
      <c r="I93" s="9">
        <f t="shared" si="4"/>
        <v>0.8</v>
      </c>
      <c r="J93" s="27" t="str">
        <f t="shared" si="5"/>
        <v>Sim</v>
      </c>
    </row>
    <row r="94" spans="1:10" ht="30" customHeight="1" x14ac:dyDescent="0.25">
      <c r="A94" s="37" t="s">
        <v>255</v>
      </c>
      <c r="B94" s="46" t="s">
        <v>39</v>
      </c>
      <c r="C94" s="47" t="b">
        <v>0</v>
      </c>
      <c r="D94" s="47" t="b">
        <v>1</v>
      </c>
      <c r="E94" s="47" t="b">
        <v>1</v>
      </c>
      <c r="F94" s="47" t="b">
        <v>0</v>
      </c>
      <c r="G94" s="47" t="b">
        <v>1</v>
      </c>
      <c r="H94" s="9" t="s">
        <v>264</v>
      </c>
      <c r="I94" s="9">
        <f t="shared" si="4"/>
        <v>0.6</v>
      </c>
      <c r="J94" s="27" t="str">
        <f t="shared" si="5"/>
        <v>Sim</v>
      </c>
    </row>
    <row r="95" spans="1:10" ht="30" customHeight="1" x14ac:dyDescent="0.25">
      <c r="A95" s="37" t="s">
        <v>256</v>
      </c>
      <c r="B95" s="46" t="s">
        <v>40</v>
      </c>
      <c r="C95" s="47" t="b">
        <v>0</v>
      </c>
      <c r="D95" s="47" t="b">
        <v>1</v>
      </c>
      <c r="E95" s="47" t="b">
        <v>1</v>
      </c>
      <c r="F95" s="47" t="b">
        <v>0</v>
      </c>
      <c r="G95" s="47" t="b">
        <v>0</v>
      </c>
      <c r="H95" s="9" t="s">
        <v>264</v>
      </c>
      <c r="I95" s="9">
        <f t="shared" si="4"/>
        <v>0.4</v>
      </c>
      <c r="J95" s="27" t="str">
        <f t="shared" si="5"/>
        <v>Não</v>
      </c>
    </row>
    <row r="96" spans="1:10" ht="30" customHeight="1" x14ac:dyDescent="0.25">
      <c r="A96" s="37" t="s">
        <v>62</v>
      </c>
      <c r="B96" s="46" t="s">
        <v>41</v>
      </c>
      <c r="C96" s="47" t="b">
        <v>0</v>
      </c>
      <c r="D96" s="47" t="b">
        <v>1</v>
      </c>
      <c r="E96" s="47" t="b">
        <v>1</v>
      </c>
      <c r="F96" s="47" t="b">
        <v>1</v>
      </c>
      <c r="G96" s="47" t="b">
        <v>1</v>
      </c>
      <c r="H96" s="9" t="s">
        <v>264</v>
      </c>
      <c r="I96" s="9">
        <f t="shared" si="4"/>
        <v>0.8</v>
      </c>
      <c r="J96" s="27" t="str">
        <f t="shared" si="5"/>
        <v>Sim</v>
      </c>
    </row>
    <row r="97" spans="1:10" ht="30" customHeight="1" x14ac:dyDescent="0.25">
      <c r="A97" s="37" t="s">
        <v>63</v>
      </c>
      <c r="B97" s="46" t="s">
        <v>42</v>
      </c>
      <c r="C97" s="47" t="b">
        <v>1</v>
      </c>
      <c r="D97" s="47" t="b">
        <v>1</v>
      </c>
      <c r="E97" s="47" t="b">
        <v>1</v>
      </c>
      <c r="F97" s="47" t="b">
        <v>1</v>
      </c>
      <c r="G97" s="47" t="b">
        <v>1</v>
      </c>
      <c r="H97" s="9" t="s">
        <v>264</v>
      </c>
      <c r="I97" s="9">
        <f t="shared" si="4"/>
        <v>1</v>
      </c>
      <c r="J97" s="27" t="str">
        <f t="shared" si="5"/>
        <v>Sim</v>
      </c>
    </row>
    <row r="98" spans="1:10" ht="30" customHeight="1" x14ac:dyDescent="0.25">
      <c r="A98" s="37" t="s">
        <v>64</v>
      </c>
      <c r="B98" s="46" t="s">
        <v>43</v>
      </c>
      <c r="C98" s="47" t="b">
        <v>1</v>
      </c>
      <c r="D98" s="47" t="b">
        <v>1</v>
      </c>
      <c r="E98" s="47" t="b">
        <v>1</v>
      </c>
      <c r="F98" s="47" t="b">
        <v>1</v>
      </c>
      <c r="G98" s="47" t="b">
        <v>1</v>
      </c>
      <c r="H98" s="9" t="s">
        <v>264</v>
      </c>
      <c r="I98" s="9">
        <f t="shared" ref="I98:I129" si="6">COUNTIF(C98:G98, TRUE) / 5</f>
        <v>1</v>
      </c>
      <c r="J98" s="27" t="str">
        <f t="shared" ref="J98:J129" si="7">IF(I98 &gt;= 60%, "Sim", "Não")</f>
        <v>Sim</v>
      </c>
    </row>
    <row r="99" spans="1:10" ht="30" customHeight="1" x14ac:dyDescent="0.25">
      <c r="A99" s="37" t="s">
        <v>65</v>
      </c>
      <c r="B99" s="46" t="s">
        <v>57</v>
      </c>
      <c r="C99" s="47" t="b">
        <v>0</v>
      </c>
      <c r="D99" s="47" t="b">
        <v>0</v>
      </c>
      <c r="E99" s="47" t="b">
        <v>0</v>
      </c>
      <c r="F99" s="47" t="b">
        <v>1</v>
      </c>
      <c r="G99" s="47" t="b">
        <v>0</v>
      </c>
      <c r="H99" s="9" t="s">
        <v>266</v>
      </c>
      <c r="I99" s="9">
        <f t="shared" si="6"/>
        <v>0.2</v>
      </c>
      <c r="J99" s="27" t="str">
        <f t="shared" si="7"/>
        <v>Não</v>
      </c>
    </row>
    <row r="100" spans="1:10" ht="30" customHeight="1" x14ac:dyDescent="0.25">
      <c r="A100" s="37" t="s">
        <v>66</v>
      </c>
      <c r="B100" s="46" t="s">
        <v>61</v>
      </c>
      <c r="C100" s="47" t="b">
        <v>0</v>
      </c>
      <c r="D100" s="47" t="b">
        <v>0</v>
      </c>
      <c r="E100" s="47" t="b">
        <v>0</v>
      </c>
      <c r="F100" s="47" t="b">
        <v>0</v>
      </c>
      <c r="G100" s="47" t="b">
        <v>1</v>
      </c>
      <c r="H100" s="9" t="s">
        <v>264</v>
      </c>
      <c r="I100" s="9">
        <f t="shared" si="6"/>
        <v>0.2</v>
      </c>
      <c r="J100" s="27" t="str">
        <f t="shared" si="7"/>
        <v>Não</v>
      </c>
    </row>
    <row r="101" spans="1:10" ht="30" customHeight="1" x14ac:dyDescent="0.25">
      <c r="A101" s="37" t="s">
        <v>67</v>
      </c>
      <c r="B101" s="48" t="s">
        <v>12</v>
      </c>
      <c r="C101" s="49" t="b">
        <v>1</v>
      </c>
      <c r="D101" s="49" t="b">
        <v>0</v>
      </c>
      <c r="E101" s="49" t="b">
        <v>0</v>
      </c>
      <c r="F101" s="49" t="b">
        <v>0</v>
      </c>
      <c r="G101" s="49" t="b">
        <v>0</v>
      </c>
      <c r="H101" s="10" t="s">
        <v>265</v>
      </c>
      <c r="I101" s="10">
        <f t="shared" si="6"/>
        <v>0.2</v>
      </c>
      <c r="J101" s="28" t="str">
        <f t="shared" si="7"/>
        <v>Não</v>
      </c>
    </row>
    <row r="102" spans="1:10" ht="30" customHeight="1" x14ac:dyDescent="0.25">
      <c r="A102" s="37" t="s">
        <v>68</v>
      </c>
      <c r="B102" s="48" t="s">
        <v>13</v>
      </c>
      <c r="C102" s="49" t="b">
        <v>1</v>
      </c>
      <c r="D102" s="49" t="b">
        <v>0</v>
      </c>
      <c r="E102" s="49" t="b">
        <v>0</v>
      </c>
      <c r="F102" s="49" t="b">
        <v>0</v>
      </c>
      <c r="G102" s="49" t="b">
        <v>0</v>
      </c>
      <c r="H102" s="10" t="s">
        <v>266</v>
      </c>
      <c r="I102" s="10">
        <f t="shared" si="6"/>
        <v>0.2</v>
      </c>
      <c r="J102" s="28" t="str">
        <f t="shared" si="7"/>
        <v>Não</v>
      </c>
    </row>
    <row r="103" spans="1:10" ht="30" customHeight="1" x14ac:dyDescent="0.25">
      <c r="A103" s="37" t="s">
        <v>69</v>
      </c>
      <c r="B103" s="48" t="s">
        <v>14</v>
      </c>
      <c r="C103" s="49" t="b">
        <v>1</v>
      </c>
      <c r="D103" s="49" t="b">
        <v>0</v>
      </c>
      <c r="E103" s="49" t="b">
        <v>0</v>
      </c>
      <c r="F103" s="49" t="b">
        <v>0</v>
      </c>
      <c r="G103" s="49" t="b">
        <v>0</v>
      </c>
      <c r="H103" s="10" t="s">
        <v>266</v>
      </c>
      <c r="I103" s="10">
        <f t="shared" si="6"/>
        <v>0.2</v>
      </c>
      <c r="J103" s="28" t="str">
        <f t="shared" si="7"/>
        <v>Não</v>
      </c>
    </row>
    <row r="104" spans="1:10" ht="30" customHeight="1" x14ac:dyDescent="0.25">
      <c r="A104" s="37" t="s">
        <v>70</v>
      </c>
      <c r="B104" s="48" t="s">
        <v>15</v>
      </c>
      <c r="C104" s="49" t="b">
        <v>1</v>
      </c>
      <c r="D104" s="49" t="b">
        <v>0</v>
      </c>
      <c r="E104" s="49" t="b">
        <v>0</v>
      </c>
      <c r="F104" s="49" t="b">
        <v>0</v>
      </c>
      <c r="G104" s="49" t="b">
        <v>0</v>
      </c>
      <c r="H104" s="10" t="s">
        <v>266</v>
      </c>
      <c r="I104" s="10">
        <f t="shared" si="6"/>
        <v>0.2</v>
      </c>
      <c r="J104" s="28" t="str">
        <f t="shared" si="7"/>
        <v>Não</v>
      </c>
    </row>
    <row r="105" spans="1:10" ht="30" customHeight="1" x14ac:dyDescent="0.25">
      <c r="A105" s="37" t="s">
        <v>71</v>
      </c>
      <c r="B105" s="48" t="s">
        <v>36</v>
      </c>
      <c r="C105" s="49" t="b">
        <v>1</v>
      </c>
      <c r="D105" s="49" t="b">
        <v>0</v>
      </c>
      <c r="E105" s="49" t="b">
        <v>0</v>
      </c>
      <c r="F105" s="49" t="b">
        <v>0</v>
      </c>
      <c r="G105" s="49" t="b">
        <v>0</v>
      </c>
      <c r="H105" s="10" t="s">
        <v>265</v>
      </c>
      <c r="I105" s="10">
        <f t="shared" si="6"/>
        <v>0.2</v>
      </c>
      <c r="J105" s="28" t="str">
        <f t="shared" si="7"/>
        <v>Não</v>
      </c>
    </row>
    <row r="106" spans="1:10" ht="30" customHeight="1" x14ac:dyDescent="0.25">
      <c r="A106" s="37" t="s">
        <v>139</v>
      </c>
      <c r="B106" s="50" t="s">
        <v>16</v>
      </c>
      <c r="C106" s="51" t="b">
        <v>1</v>
      </c>
      <c r="D106" s="51" t="b">
        <v>0</v>
      </c>
      <c r="E106" s="51" t="b">
        <v>0</v>
      </c>
      <c r="F106" s="51" t="b">
        <v>0</v>
      </c>
      <c r="G106" s="51" t="b">
        <v>0</v>
      </c>
      <c r="H106" s="10" t="s">
        <v>266</v>
      </c>
      <c r="I106" s="11">
        <f t="shared" si="6"/>
        <v>0.2</v>
      </c>
      <c r="J106" s="29" t="str">
        <f t="shared" si="7"/>
        <v>Não</v>
      </c>
    </row>
    <row r="107" spans="1:10" ht="30" customHeight="1" x14ac:dyDescent="0.25">
      <c r="A107" s="37" t="s">
        <v>140</v>
      </c>
      <c r="B107" s="50" t="s">
        <v>17</v>
      </c>
      <c r="C107" s="51" t="b">
        <v>1</v>
      </c>
      <c r="D107" s="51" t="b">
        <v>0</v>
      </c>
      <c r="E107" s="51" t="b">
        <v>0</v>
      </c>
      <c r="F107" s="51" t="b">
        <v>0</v>
      </c>
      <c r="G107" s="51" t="b">
        <v>0</v>
      </c>
      <c r="H107" s="10" t="s">
        <v>266</v>
      </c>
      <c r="I107" s="11">
        <f t="shared" si="6"/>
        <v>0.2</v>
      </c>
      <c r="J107" s="29" t="str">
        <f t="shared" si="7"/>
        <v>Não</v>
      </c>
    </row>
    <row r="108" spans="1:10" ht="30" customHeight="1" x14ac:dyDescent="0.25">
      <c r="A108" s="37" t="s">
        <v>141</v>
      </c>
      <c r="B108" s="50" t="s">
        <v>18</v>
      </c>
      <c r="C108" s="51" t="b">
        <v>1</v>
      </c>
      <c r="D108" s="51" t="b">
        <v>0</v>
      </c>
      <c r="E108" s="51" t="b">
        <v>0</v>
      </c>
      <c r="F108" s="51" t="b">
        <v>0</v>
      </c>
      <c r="G108" s="51" t="b">
        <v>0</v>
      </c>
      <c r="H108" s="10" t="s">
        <v>266</v>
      </c>
      <c r="I108" s="11">
        <f t="shared" si="6"/>
        <v>0.2</v>
      </c>
      <c r="J108" s="29" t="str">
        <f t="shared" si="7"/>
        <v>Não</v>
      </c>
    </row>
    <row r="109" spans="1:10" ht="30" customHeight="1" x14ac:dyDescent="0.25">
      <c r="A109" s="37" t="s">
        <v>142</v>
      </c>
      <c r="B109" s="50" t="s">
        <v>19</v>
      </c>
      <c r="C109" s="51" t="b">
        <v>1</v>
      </c>
      <c r="D109" s="51" t="b">
        <v>0</v>
      </c>
      <c r="E109" s="51" t="b">
        <v>0</v>
      </c>
      <c r="F109" s="51" t="b">
        <v>0</v>
      </c>
      <c r="G109" s="51" t="b">
        <v>0</v>
      </c>
      <c r="H109" s="10" t="s">
        <v>266</v>
      </c>
      <c r="I109" s="11">
        <f t="shared" si="6"/>
        <v>0.2</v>
      </c>
      <c r="J109" s="29" t="str">
        <f t="shared" si="7"/>
        <v>Não</v>
      </c>
    </row>
    <row r="110" spans="1:10" ht="30" customHeight="1" x14ac:dyDescent="0.25">
      <c r="A110" s="37" t="s">
        <v>143</v>
      </c>
      <c r="B110" s="50" t="s">
        <v>20</v>
      </c>
      <c r="C110" s="51" t="b">
        <v>1</v>
      </c>
      <c r="D110" s="51" t="b">
        <v>0</v>
      </c>
      <c r="E110" s="51" t="b">
        <v>0</v>
      </c>
      <c r="F110" s="51" t="b">
        <v>0</v>
      </c>
      <c r="G110" s="51" t="b">
        <v>0</v>
      </c>
      <c r="H110" s="10" t="s">
        <v>266</v>
      </c>
      <c r="I110" s="11">
        <f t="shared" si="6"/>
        <v>0.2</v>
      </c>
      <c r="J110" s="29" t="str">
        <f t="shared" si="7"/>
        <v>Não</v>
      </c>
    </row>
    <row r="111" spans="1:10" ht="30" customHeight="1" x14ac:dyDescent="0.25">
      <c r="A111" s="37" t="s">
        <v>144</v>
      </c>
      <c r="B111" s="50" t="s">
        <v>21</v>
      </c>
      <c r="C111" s="51" t="b">
        <v>1</v>
      </c>
      <c r="D111" s="51" t="b">
        <v>0</v>
      </c>
      <c r="E111" s="51" t="b">
        <v>0</v>
      </c>
      <c r="F111" s="51" t="b">
        <v>0</v>
      </c>
      <c r="G111" s="51" t="b">
        <v>0</v>
      </c>
      <c r="H111" s="10" t="s">
        <v>266</v>
      </c>
      <c r="I111" s="11">
        <f t="shared" si="6"/>
        <v>0.2</v>
      </c>
      <c r="J111" s="29" t="str">
        <f t="shared" si="7"/>
        <v>Não</v>
      </c>
    </row>
    <row r="112" spans="1:10" ht="30" customHeight="1" x14ac:dyDescent="0.25">
      <c r="A112" s="37" t="s">
        <v>145</v>
      </c>
      <c r="B112" s="50" t="s">
        <v>22</v>
      </c>
      <c r="C112" s="51" t="b">
        <v>1</v>
      </c>
      <c r="D112" s="51" t="b">
        <v>0</v>
      </c>
      <c r="E112" s="51" t="b">
        <v>0</v>
      </c>
      <c r="F112" s="51" t="b">
        <v>0</v>
      </c>
      <c r="G112" s="51" t="b">
        <v>0</v>
      </c>
      <c r="H112" s="10" t="s">
        <v>266</v>
      </c>
      <c r="I112" s="11">
        <f t="shared" si="6"/>
        <v>0.2</v>
      </c>
      <c r="J112" s="29" t="str">
        <f t="shared" si="7"/>
        <v>Não</v>
      </c>
    </row>
    <row r="113" spans="1:10" ht="30" customHeight="1" x14ac:dyDescent="0.25">
      <c r="A113" s="37" t="s">
        <v>146</v>
      </c>
      <c r="B113" s="50" t="s">
        <v>23</v>
      </c>
      <c r="C113" s="51" t="b">
        <v>1</v>
      </c>
      <c r="D113" s="51" t="b">
        <v>0</v>
      </c>
      <c r="E113" s="51" t="b">
        <v>0</v>
      </c>
      <c r="F113" s="51" t="b">
        <v>0</v>
      </c>
      <c r="G113" s="51" t="b">
        <v>0</v>
      </c>
      <c r="H113" s="10" t="s">
        <v>266</v>
      </c>
      <c r="I113" s="11">
        <f t="shared" si="6"/>
        <v>0.2</v>
      </c>
      <c r="J113" s="29" t="str">
        <f t="shared" si="7"/>
        <v>Não</v>
      </c>
    </row>
    <row r="114" spans="1:10" ht="30" customHeight="1" x14ac:dyDescent="0.25">
      <c r="A114" s="37" t="s">
        <v>147</v>
      </c>
      <c r="B114" s="52" t="s">
        <v>72</v>
      </c>
      <c r="C114" s="53" t="b">
        <v>1</v>
      </c>
      <c r="D114" s="53" t="b">
        <v>0</v>
      </c>
      <c r="E114" s="53" t="b">
        <v>0</v>
      </c>
      <c r="F114" s="53" t="b">
        <v>0</v>
      </c>
      <c r="G114" s="53" t="b">
        <v>0</v>
      </c>
      <c r="H114" s="12" t="s">
        <v>265</v>
      </c>
      <c r="I114" s="12">
        <f t="shared" si="6"/>
        <v>0.2</v>
      </c>
      <c r="J114" s="30" t="str">
        <f t="shared" si="7"/>
        <v>Não</v>
      </c>
    </row>
    <row r="115" spans="1:10" ht="30" customHeight="1" x14ac:dyDescent="0.25">
      <c r="A115" s="37" t="s">
        <v>148</v>
      </c>
      <c r="B115" s="54" t="s">
        <v>24</v>
      </c>
      <c r="C115" s="55" t="b">
        <v>1</v>
      </c>
      <c r="D115" s="55" t="b">
        <v>0</v>
      </c>
      <c r="E115" s="55" t="b">
        <v>0</v>
      </c>
      <c r="F115" s="55" t="b">
        <v>0</v>
      </c>
      <c r="G115" s="55" t="b">
        <v>0</v>
      </c>
      <c r="H115" s="13" t="s">
        <v>266</v>
      </c>
      <c r="I115" s="13">
        <f t="shared" si="6"/>
        <v>0.2</v>
      </c>
      <c r="J115" s="23" t="str">
        <f t="shared" si="7"/>
        <v>Não</v>
      </c>
    </row>
    <row r="116" spans="1:10" ht="30" customHeight="1" x14ac:dyDescent="0.25">
      <c r="A116" s="37" t="s">
        <v>149</v>
      </c>
      <c r="B116" s="54" t="s">
        <v>37</v>
      </c>
      <c r="C116" s="55" t="b">
        <v>1</v>
      </c>
      <c r="D116" s="55" t="b">
        <v>0</v>
      </c>
      <c r="E116" s="55" t="b">
        <v>0</v>
      </c>
      <c r="F116" s="55" t="b">
        <v>0</v>
      </c>
      <c r="G116" s="55" t="b">
        <v>0</v>
      </c>
      <c r="H116" s="13" t="s">
        <v>266</v>
      </c>
      <c r="I116" s="13">
        <f t="shared" si="6"/>
        <v>0.2</v>
      </c>
      <c r="J116" s="23" t="str">
        <f t="shared" si="7"/>
        <v>Não</v>
      </c>
    </row>
    <row r="117" spans="1:10" ht="30" customHeight="1" x14ac:dyDescent="0.25">
      <c r="A117" s="37" t="s">
        <v>150</v>
      </c>
      <c r="B117" s="54" t="s">
        <v>38</v>
      </c>
      <c r="C117" s="55" t="b">
        <v>1</v>
      </c>
      <c r="D117" s="55" t="b">
        <v>0</v>
      </c>
      <c r="E117" s="55" t="b">
        <v>0</v>
      </c>
      <c r="F117" s="55" t="b">
        <v>0</v>
      </c>
      <c r="G117" s="55" t="b">
        <v>0</v>
      </c>
      <c r="H117" s="13" t="s">
        <v>266</v>
      </c>
      <c r="I117" s="13">
        <f t="shared" si="6"/>
        <v>0.2</v>
      </c>
      <c r="J117" s="23" t="str">
        <f t="shared" si="7"/>
        <v>Não</v>
      </c>
    </row>
    <row r="118" spans="1:10" ht="30" customHeight="1" x14ac:dyDescent="0.25">
      <c r="A118" s="37" t="s">
        <v>151</v>
      </c>
      <c r="B118" s="54" t="s">
        <v>25</v>
      </c>
      <c r="C118" s="55" t="b">
        <v>1</v>
      </c>
      <c r="D118" s="55" t="b">
        <v>0</v>
      </c>
      <c r="E118" s="55" t="b">
        <v>0</v>
      </c>
      <c r="F118" s="55" t="b">
        <v>0</v>
      </c>
      <c r="G118" s="55" t="b">
        <v>0</v>
      </c>
      <c r="H118" s="13" t="s">
        <v>266</v>
      </c>
      <c r="I118" s="13">
        <f t="shared" si="6"/>
        <v>0.2</v>
      </c>
      <c r="J118" s="23" t="str">
        <f t="shared" si="7"/>
        <v>Não</v>
      </c>
    </row>
    <row r="119" spans="1:10" ht="30" customHeight="1" x14ac:dyDescent="0.25">
      <c r="A119" s="37" t="s">
        <v>152</v>
      </c>
      <c r="B119" s="54" t="s">
        <v>26</v>
      </c>
      <c r="C119" s="55" t="b">
        <v>1</v>
      </c>
      <c r="D119" s="55" t="b">
        <v>0</v>
      </c>
      <c r="E119" s="55" t="b">
        <v>0</v>
      </c>
      <c r="F119" s="55" t="b">
        <v>0</v>
      </c>
      <c r="G119" s="55" t="b">
        <v>0</v>
      </c>
      <c r="H119" s="13" t="s">
        <v>266</v>
      </c>
      <c r="I119" s="13">
        <f t="shared" si="6"/>
        <v>0.2</v>
      </c>
      <c r="J119" s="23" t="str">
        <f t="shared" si="7"/>
        <v>Não</v>
      </c>
    </row>
    <row r="120" spans="1:10" ht="30" customHeight="1" x14ac:dyDescent="0.25">
      <c r="A120" s="37" t="s">
        <v>153</v>
      </c>
      <c r="B120" s="56" t="s">
        <v>30</v>
      </c>
      <c r="C120" s="57" t="b">
        <v>1</v>
      </c>
      <c r="D120" s="57" t="b">
        <v>0</v>
      </c>
      <c r="E120" s="57" t="b">
        <v>0</v>
      </c>
      <c r="F120" s="57" t="b">
        <v>0</v>
      </c>
      <c r="G120" s="57" t="b">
        <v>0</v>
      </c>
      <c r="H120" s="14" t="s">
        <v>265</v>
      </c>
      <c r="I120" s="14">
        <f t="shared" si="6"/>
        <v>0.2</v>
      </c>
      <c r="J120" s="31" t="str">
        <f t="shared" si="7"/>
        <v>Não</v>
      </c>
    </row>
    <row r="121" spans="1:10" ht="30" customHeight="1" x14ac:dyDescent="0.25">
      <c r="A121" s="37" t="s">
        <v>154</v>
      </c>
      <c r="B121" s="56" t="s">
        <v>29</v>
      </c>
      <c r="C121" s="57" t="b">
        <v>1</v>
      </c>
      <c r="D121" s="57" t="b">
        <v>0</v>
      </c>
      <c r="E121" s="57" t="b">
        <v>0</v>
      </c>
      <c r="F121" s="57" t="b">
        <v>0</v>
      </c>
      <c r="G121" s="57" t="b">
        <v>0</v>
      </c>
      <c r="H121" s="14" t="s">
        <v>265</v>
      </c>
      <c r="I121" s="14">
        <f t="shared" si="6"/>
        <v>0.2</v>
      </c>
      <c r="J121" s="31" t="str">
        <f t="shared" si="7"/>
        <v>Não</v>
      </c>
    </row>
    <row r="122" spans="1:10" ht="30" customHeight="1" x14ac:dyDescent="0.25">
      <c r="A122" s="37" t="s">
        <v>155</v>
      </c>
      <c r="B122" s="58" t="s">
        <v>31</v>
      </c>
      <c r="C122" s="59" t="b">
        <v>1</v>
      </c>
      <c r="D122" s="59" t="b">
        <v>0</v>
      </c>
      <c r="E122" s="59" t="b">
        <v>0</v>
      </c>
      <c r="F122" s="59" t="b">
        <v>0</v>
      </c>
      <c r="G122" s="59" t="b">
        <v>0</v>
      </c>
      <c r="H122" s="15" t="s">
        <v>265</v>
      </c>
      <c r="I122" s="15">
        <f t="shared" si="6"/>
        <v>0.2</v>
      </c>
      <c r="J122" s="17" t="str">
        <f t="shared" si="7"/>
        <v>Não</v>
      </c>
    </row>
    <row r="123" spans="1:10" ht="30" customHeight="1" x14ac:dyDescent="0.25">
      <c r="A123" s="37" t="s">
        <v>156</v>
      </c>
      <c r="B123" s="58" t="s">
        <v>50</v>
      </c>
      <c r="C123" s="59" t="b">
        <v>0</v>
      </c>
      <c r="D123" s="59" t="b">
        <v>0</v>
      </c>
      <c r="E123" s="59" t="b">
        <v>1</v>
      </c>
      <c r="F123" s="59" t="b">
        <v>0</v>
      </c>
      <c r="G123" s="59" t="b">
        <v>0</v>
      </c>
      <c r="H123" s="15" t="s">
        <v>265</v>
      </c>
      <c r="I123" s="15">
        <f t="shared" si="6"/>
        <v>0.2</v>
      </c>
      <c r="J123" s="17" t="str">
        <f t="shared" si="7"/>
        <v>Não</v>
      </c>
    </row>
    <row r="124" spans="1:10" ht="30" customHeight="1" x14ac:dyDescent="0.25">
      <c r="A124" s="37" t="s">
        <v>157</v>
      </c>
      <c r="B124" s="58" t="s">
        <v>51</v>
      </c>
      <c r="C124" s="59" t="b">
        <v>0</v>
      </c>
      <c r="D124" s="59" t="b">
        <v>0</v>
      </c>
      <c r="E124" s="59" t="b">
        <v>1</v>
      </c>
      <c r="F124" s="59" t="b">
        <v>0</v>
      </c>
      <c r="G124" s="59" t="b">
        <v>0</v>
      </c>
      <c r="H124" s="15" t="s">
        <v>265</v>
      </c>
      <c r="I124" s="15">
        <f t="shared" si="6"/>
        <v>0.2</v>
      </c>
      <c r="J124" s="17" t="str">
        <f t="shared" si="7"/>
        <v>Não</v>
      </c>
    </row>
    <row r="125" spans="1:10" ht="30" customHeight="1" x14ac:dyDescent="0.25">
      <c r="A125" s="37" t="s">
        <v>158</v>
      </c>
      <c r="B125" s="58" t="s">
        <v>52</v>
      </c>
      <c r="C125" s="59" t="b">
        <v>0</v>
      </c>
      <c r="D125" s="59" t="b">
        <v>0</v>
      </c>
      <c r="E125" s="59" t="b">
        <v>1</v>
      </c>
      <c r="F125" s="59" t="b">
        <v>0</v>
      </c>
      <c r="G125" s="59" t="b">
        <v>0</v>
      </c>
      <c r="H125" s="15" t="s">
        <v>266</v>
      </c>
      <c r="I125" s="15">
        <f t="shared" si="6"/>
        <v>0.2</v>
      </c>
      <c r="J125" s="17" t="str">
        <f t="shared" si="7"/>
        <v>Não</v>
      </c>
    </row>
    <row r="126" spans="1:10" ht="51" customHeight="1" x14ac:dyDescent="0.25">
      <c r="A126" s="37" t="s">
        <v>159</v>
      </c>
      <c r="B126" s="58" t="s">
        <v>55</v>
      </c>
      <c r="C126" s="59" t="b">
        <v>0</v>
      </c>
      <c r="D126" s="59" t="b">
        <v>0</v>
      </c>
      <c r="E126" s="59" t="b">
        <v>0</v>
      </c>
      <c r="F126" s="59" t="b">
        <v>1</v>
      </c>
      <c r="G126" s="59" t="b">
        <v>0</v>
      </c>
      <c r="H126" s="15" t="s">
        <v>266</v>
      </c>
      <c r="I126" s="15">
        <f t="shared" si="6"/>
        <v>0.2</v>
      </c>
      <c r="J126" s="17" t="str">
        <f t="shared" si="7"/>
        <v>Não</v>
      </c>
    </row>
    <row r="127" spans="1:10" ht="51" customHeight="1" x14ac:dyDescent="0.25">
      <c r="A127" s="37" t="s">
        <v>160</v>
      </c>
      <c r="B127" s="58" t="s">
        <v>56</v>
      </c>
      <c r="C127" s="59" t="b">
        <v>0</v>
      </c>
      <c r="D127" s="59" t="b">
        <v>0</v>
      </c>
      <c r="E127" s="59" t="b">
        <v>0</v>
      </c>
      <c r="F127" s="59" t="b">
        <v>1</v>
      </c>
      <c r="G127" s="59" t="b">
        <v>0</v>
      </c>
      <c r="H127" s="15" t="s">
        <v>266</v>
      </c>
      <c r="I127" s="15">
        <f t="shared" si="6"/>
        <v>0.2</v>
      </c>
      <c r="J127" s="17" t="str">
        <f t="shared" si="7"/>
        <v>Não</v>
      </c>
    </row>
    <row r="128" spans="1:10" ht="30" customHeight="1" x14ac:dyDescent="0.25">
      <c r="A128" s="37" t="s">
        <v>161</v>
      </c>
      <c r="B128" s="60" t="s">
        <v>87</v>
      </c>
      <c r="C128" s="61" t="b">
        <v>0</v>
      </c>
      <c r="D128" s="61" t="b">
        <v>1</v>
      </c>
      <c r="E128" s="61" t="b">
        <v>0</v>
      </c>
      <c r="F128" s="61" t="b">
        <v>0</v>
      </c>
      <c r="G128" s="61" t="b">
        <v>0</v>
      </c>
      <c r="H128" s="16" t="s">
        <v>265</v>
      </c>
      <c r="I128" s="16">
        <f t="shared" si="6"/>
        <v>0.2</v>
      </c>
      <c r="J128" s="32" t="str">
        <f t="shared" si="7"/>
        <v>Não</v>
      </c>
    </row>
    <row r="129" spans="1:10" ht="30" customHeight="1" x14ac:dyDescent="0.25">
      <c r="A129" s="62" t="s">
        <v>162</v>
      </c>
      <c r="B129" s="63" t="s">
        <v>73</v>
      </c>
      <c r="C129" s="64" t="b">
        <v>0</v>
      </c>
      <c r="D129" s="64" t="b">
        <v>1</v>
      </c>
      <c r="E129" s="64" t="b">
        <v>0</v>
      </c>
      <c r="F129" s="64" t="b">
        <v>0</v>
      </c>
      <c r="G129" s="64" t="b">
        <v>0</v>
      </c>
      <c r="H129" s="33" t="s">
        <v>265</v>
      </c>
      <c r="I129" s="33">
        <f t="shared" si="6"/>
        <v>0.2</v>
      </c>
      <c r="J129" s="34" t="str">
        <f t="shared" si="7"/>
        <v>Não</v>
      </c>
    </row>
    <row r="130" spans="1:10" ht="30" customHeight="1" x14ac:dyDescent="0.25">
      <c r="A130" s="69" t="s">
        <v>269</v>
      </c>
      <c r="B130" s="70" t="s">
        <v>270</v>
      </c>
      <c r="C130" s="65" t="b">
        <v>1</v>
      </c>
      <c r="D130" s="65" t="b">
        <v>0</v>
      </c>
      <c r="E130" s="65" t="b">
        <v>0</v>
      </c>
      <c r="F130" s="65" t="b">
        <v>0</v>
      </c>
      <c r="G130" s="65" t="b">
        <v>0</v>
      </c>
      <c r="H130" s="71" t="s">
        <v>305</v>
      </c>
      <c r="I130" s="35">
        <f t="shared" ref="I130:I133" si="8">COUNTIF(C130:G130, TRUE) / 5</f>
        <v>0.2</v>
      </c>
      <c r="J130" s="36" t="str">
        <f t="shared" ref="J130:J133" si="9">IF(I130 &gt;= 60%, "Sim", "Não")</f>
        <v>Não</v>
      </c>
    </row>
    <row r="131" spans="1:10" ht="30" customHeight="1" x14ac:dyDescent="0.25">
      <c r="A131" s="69" t="s">
        <v>271</v>
      </c>
      <c r="B131" s="70" t="s">
        <v>272</v>
      </c>
      <c r="C131" s="65" t="b">
        <v>1</v>
      </c>
      <c r="D131" s="65" t="b">
        <v>0</v>
      </c>
      <c r="E131" s="65" t="b">
        <v>0</v>
      </c>
      <c r="F131" s="65" t="b">
        <v>0</v>
      </c>
      <c r="G131" s="65" t="b">
        <v>0</v>
      </c>
      <c r="H131" s="71" t="s">
        <v>306</v>
      </c>
      <c r="I131" s="35">
        <f t="shared" si="8"/>
        <v>0.2</v>
      </c>
      <c r="J131" s="36" t="str">
        <f t="shared" si="9"/>
        <v>Não</v>
      </c>
    </row>
    <row r="132" spans="1:10" ht="30" customHeight="1" x14ac:dyDescent="0.25">
      <c r="A132" s="69" t="s">
        <v>273</v>
      </c>
      <c r="B132" s="70" t="s">
        <v>274</v>
      </c>
      <c r="C132" s="65" t="b">
        <v>1</v>
      </c>
      <c r="D132" s="65" t="b">
        <v>0</v>
      </c>
      <c r="E132" s="65" t="b">
        <v>0</v>
      </c>
      <c r="F132" s="65" t="b">
        <v>0</v>
      </c>
      <c r="G132" s="65" t="b">
        <v>0</v>
      </c>
      <c r="H132" s="71" t="s">
        <v>307</v>
      </c>
      <c r="I132" s="35">
        <f t="shared" si="8"/>
        <v>0.2</v>
      </c>
      <c r="J132" s="36" t="str">
        <f t="shared" si="9"/>
        <v>Não</v>
      </c>
    </row>
    <row r="133" spans="1:10" ht="30" customHeight="1" x14ac:dyDescent="0.25">
      <c r="A133" s="69" t="s">
        <v>275</v>
      </c>
      <c r="B133" s="70" t="s">
        <v>276</v>
      </c>
      <c r="C133" s="65" t="b">
        <v>1</v>
      </c>
      <c r="D133" s="65" t="b">
        <v>0</v>
      </c>
      <c r="E133" s="65" t="b">
        <v>0</v>
      </c>
      <c r="F133" s="65" t="b">
        <v>0</v>
      </c>
      <c r="G133" s="65" t="b">
        <v>0</v>
      </c>
      <c r="H133" s="71" t="s">
        <v>308</v>
      </c>
      <c r="I133" s="35">
        <f t="shared" si="8"/>
        <v>0.2</v>
      </c>
      <c r="J133" s="36" t="str">
        <f t="shared" si="9"/>
        <v>Não</v>
      </c>
    </row>
    <row r="134" spans="1:10" ht="30" customHeight="1" x14ac:dyDescent="0.25">
      <c r="A134" s="69" t="s">
        <v>283</v>
      </c>
      <c r="B134" s="70" t="s">
        <v>277</v>
      </c>
      <c r="C134" s="65" t="b">
        <v>0</v>
      </c>
      <c r="D134" s="65" t="b">
        <v>1</v>
      </c>
      <c r="E134" s="65" t="b">
        <v>1</v>
      </c>
      <c r="F134" s="65" t="b">
        <v>1</v>
      </c>
      <c r="G134" s="65" t="b">
        <v>1</v>
      </c>
      <c r="H134" s="71" t="s">
        <v>309</v>
      </c>
      <c r="I134" s="35">
        <f t="shared" ref="I134:I137" si="10">COUNTIF(C134:G134, TRUE) / 5</f>
        <v>0.8</v>
      </c>
      <c r="J134" s="36" t="str">
        <f t="shared" ref="J134:J137" si="11">IF(I134 &gt;= 60%, "Sim", "Não")</f>
        <v>Sim</v>
      </c>
    </row>
    <row r="135" spans="1:10" ht="30" customHeight="1" x14ac:dyDescent="0.25">
      <c r="A135" s="69" t="s">
        <v>284</v>
      </c>
      <c r="B135" s="70" t="s">
        <v>292</v>
      </c>
      <c r="C135" s="65" t="b">
        <v>0</v>
      </c>
      <c r="D135" s="65" t="b">
        <v>1</v>
      </c>
      <c r="E135" s="65" t="b">
        <v>0</v>
      </c>
      <c r="F135" s="65" t="b">
        <v>0</v>
      </c>
      <c r="G135" s="65" t="b">
        <v>1</v>
      </c>
      <c r="H135" s="71" t="s">
        <v>310</v>
      </c>
      <c r="I135" s="35">
        <f t="shared" si="10"/>
        <v>0.4</v>
      </c>
      <c r="J135" s="36" t="str">
        <f t="shared" si="11"/>
        <v>Não</v>
      </c>
    </row>
    <row r="136" spans="1:10" ht="30" customHeight="1" x14ac:dyDescent="0.25">
      <c r="A136" s="69" t="s">
        <v>293</v>
      </c>
      <c r="B136" s="70" t="s">
        <v>278</v>
      </c>
      <c r="C136" s="65" t="b">
        <v>0</v>
      </c>
      <c r="D136" s="65" t="b">
        <v>1</v>
      </c>
      <c r="E136" s="65" t="b">
        <v>0</v>
      </c>
      <c r="F136" s="65" t="b">
        <v>1</v>
      </c>
      <c r="G136" s="65" t="b">
        <v>0</v>
      </c>
      <c r="H136" s="71" t="s">
        <v>311</v>
      </c>
      <c r="I136" s="35">
        <f t="shared" si="10"/>
        <v>0.4</v>
      </c>
      <c r="J136" s="36" t="str">
        <f t="shared" si="11"/>
        <v>Não</v>
      </c>
    </row>
    <row r="137" spans="1:10" ht="30" customHeight="1" x14ac:dyDescent="0.25">
      <c r="A137" s="69" t="s">
        <v>294</v>
      </c>
      <c r="B137" s="70" t="s">
        <v>279</v>
      </c>
      <c r="C137" s="65" t="b">
        <v>0</v>
      </c>
      <c r="D137" s="65" t="b">
        <v>1</v>
      </c>
      <c r="E137" s="65" t="b">
        <v>0</v>
      </c>
      <c r="F137" s="65" t="b">
        <v>0</v>
      </c>
      <c r="G137" s="65" t="b">
        <v>0</v>
      </c>
      <c r="H137" s="71" t="s">
        <v>312</v>
      </c>
      <c r="I137" s="35">
        <f t="shared" si="10"/>
        <v>0.2</v>
      </c>
      <c r="J137" s="36" t="str">
        <f t="shared" si="11"/>
        <v>Não</v>
      </c>
    </row>
    <row r="138" spans="1:10" ht="45" x14ac:dyDescent="0.25">
      <c r="A138" s="69" t="s">
        <v>295</v>
      </c>
      <c r="B138" s="70" t="s">
        <v>280</v>
      </c>
      <c r="C138" s="65" t="b">
        <v>0</v>
      </c>
      <c r="D138" s="65" t="b">
        <v>0</v>
      </c>
      <c r="E138" s="65" t="b">
        <v>1</v>
      </c>
      <c r="F138" s="65" t="b">
        <v>1</v>
      </c>
      <c r="G138" s="65" t="b">
        <v>1</v>
      </c>
      <c r="H138" s="71" t="s">
        <v>313</v>
      </c>
      <c r="I138" s="35">
        <f t="shared" ref="I138:I140" si="12">COUNTIF(C138:G138, TRUE) / 5</f>
        <v>0.6</v>
      </c>
      <c r="J138" s="36" t="str">
        <f t="shared" ref="J138:J140" si="13">IF(I138 &gt;= 60%, "Sim", "Não")</f>
        <v>Sim</v>
      </c>
    </row>
    <row r="139" spans="1:10" ht="45" x14ac:dyDescent="0.25">
      <c r="A139" s="69" t="s">
        <v>296</v>
      </c>
      <c r="B139" s="70" t="s">
        <v>281</v>
      </c>
      <c r="C139" s="65" t="b">
        <v>0</v>
      </c>
      <c r="D139" s="65" t="b">
        <v>0</v>
      </c>
      <c r="E139" s="65" t="b">
        <v>1</v>
      </c>
      <c r="F139" s="65" t="b">
        <v>0</v>
      </c>
      <c r="G139" s="65" t="b">
        <v>0</v>
      </c>
      <c r="H139" s="71" t="s">
        <v>310</v>
      </c>
      <c r="I139" s="35">
        <f t="shared" si="12"/>
        <v>0.2</v>
      </c>
      <c r="J139" s="36" t="str">
        <f t="shared" si="13"/>
        <v>Não</v>
      </c>
    </row>
    <row r="140" spans="1:10" ht="60" x14ac:dyDescent="0.25">
      <c r="A140" s="69" t="s">
        <v>297</v>
      </c>
      <c r="B140" s="70" t="s">
        <v>282</v>
      </c>
      <c r="C140" s="65" t="b">
        <v>0</v>
      </c>
      <c r="D140" s="65" t="b">
        <v>0</v>
      </c>
      <c r="E140" s="65" t="b">
        <v>1</v>
      </c>
      <c r="F140" s="65" t="b">
        <v>0</v>
      </c>
      <c r="G140" s="65" t="b">
        <v>1</v>
      </c>
      <c r="H140" s="71" t="s">
        <v>314</v>
      </c>
      <c r="I140" s="35">
        <f t="shared" si="12"/>
        <v>0.4</v>
      </c>
      <c r="J140" s="36" t="str">
        <f t="shared" si="13"/>
        <v>Não</v>
      </c>
    </row>
    <row r="141" spans="1:10" ht="30" x14ac:dyDescent="0.25">
      <c r="A141" s="69" t="s">
        <v>298</v>
      </c>
      <c r="B141" s="70" t="s">
        <v>285</v>
      </c>
      <c r="C141" s="65" t="b">
        <v>0</v>
      </c>
      <c r="D141" s="65" t="b">
        <v>0</v>
      </c>
      <c r="E141" s="65" t="b">
        <v>0</v>
      </c>
      <c r="F141" s="65" t="b">
        <v>1</v>
      </c>
      <c r="G141" s="65" t="b">
        <v>0</v>
      </c>
      <c r="H141" s="71" t="s">
        <v>315</v>
      </c>
      <c r="I141" s="35">
        <f t="shared" ref="I141:I144" si="14">COUNTIF(C141:G141, TRUE) / 5</f>
        <v>0.2</v>
      </c>
      <c r="J141" s="36" t="str">
        <f t="shared" ref="J141:J144" si="15">IF(I141 &gt;= 60%, "Sim", "Não")</f>
        <v>Não</v>
      </c>
    </row>
    <row r="142" spans="1:10" ht="45" x14ac:dyDescent="0.25">
      <c r="A142" s="69" t="s">
        <v>299</v>
      </c>
      <c r="B142" s="70" t="s">
        <v>286</v>
      </c>
      <c r="C142" s="65" t="b">
        <v>0</v>
      </c>
      <c r="D142" s="65" t="b">
        <v>0</v>
      </c>
      <c r="E142" s="65" t="b">
        <v>0</v>
      </c>
      <c r="F142" s="65" t="b">
        <v>1</v>
      </c>
      <c r="G142" s="65" t="b">
        <v>0</v>
      </c>
      <c r="H142" s="71" t="s">
        <v>316</v>
      </c>
      <c r="I142" s="35">
        <f t="shared" si="14"/>
        <v>0.2</v>
      </c>
      <c r="J142" s="36" t="str">
        <f t="shared" si="15"/>
        <v>Não</v>
      </c>
    </row>
    <row r="143" spans="1:10" ht="30" x14ac:dyDescent="0.25">
      <c r="A143" s="69" t="s">
        <v>300</v>
      </c>
      <c r="B143" s="70" t="s">
        <v>287</v>
      </c>
      <c r="C143" s="65" t="b">
        <v>0</v>
      </c>
      <c r="D143" s="65" t="b">
        <v>0</v>
      </c>
      <c r="E143" s="65" t="b">
        <v>0</v>
      </c>
      <c r="F143" s="65" t="b">
        <v>1</v>
      </c>
      <c r="G143" s="65" t="b">
        <v>0</v>
      </c>
      <c r="H143" s="71" t="s">
        <v>316</v>
      </c>
      <c r="I143" s="35">
        <f t="shared" si="14"/>
        <v>0.2</v>
      </c>
      <c r="J143" s="36" t="str">
        <f t="shared" si="15"/>
        <v>Não</v>
      </c>
    </row>
    <row r="144" spans="1:10" ht="30" x14ac:dyDescent="0.25">
      <c r="A144" s="69" t="s">
        <v>301</v>
      </c>
      <c r="B144" s="70" t="s">
        <v>291</v>
      </c>
      <c r="C144" s="65" t="b">
        <v>0</v>
      </c>
      <c r="D144" s="65" t="b">
        <v>0</v>
      </c>
      <c r="E144" s="65" t="b">
        <v>0</v>
      </c>
      <c r="F144" s="65" t="b">
        <v>1</v>
      </c>
      <c r="G144" s="65" t="b">
        <v>0</v>
      </c>
      <c r="H144" s="71" t="s">
        <v>317</v>
      </c>
      <c r="I144" s="35">
        <f t="shared" si="14"/>
        <v>0.2</v>
      </c>
      <c r="J144" s="36" t="str">
        <f t="shared" si="15"/>
        <v>Não</v>
      </c>
    </row>
    <row r="145" spans="1:10" ht="30" x14ac:dyDescent="0.25">
      <c r="A145" s="69" t="s">
        <v>302</v>
      </c>
      <c r="B145" s="70" t="s">
        <v>288</v>
      </c>
      <c r="C145" s="65" t="b">
        <v>0</v>
      </c>
      <c r="D145" s="65" t="b">
        <v>0</v>
      </c>
      <c r="E145" s="65" t="b">
        <v>0</v>
      </c>
      <c r="F145" s="65" t="b">
        <v>0</v>
      </c>
      <c r="G145" s="65" t="b">
        <v>1</v>
      </c>
      <c r="H145" s="71" t="s">
        <v>311</v>
      </c>
      <c r="I145" s="35">
        <f t="shared" ref="I145:I147" si="16">COUNTIF(C145:G145, TRUE) / 5</f>
        <v>0.2</v>
      </c>
      <c r="J145" s="36" t="str">
        <f t="shared" ref="J145:J147" si="17">IF(I145 &gt;= 60%, "Sim", "Não")</f>
        <v>Não</v>
      </c>
    </row>
    <row r="146" spans="1:10" ht="30" x14ac:dyDescent="0.25">
      <c r="A146" s="69" t="s">
        <v>303</v>
      </c>
      <c r="B146" s="70" t="s">
        <v>289</v>
      </c>
      <c r="C146" s="65" t="b">
        <v>0</v>
      </c>
      <c r="D146" s="65" t="b">
        <v>0</v>
      </c>
      <c r="E146" s="65" t="b">
        <v>0</v>
      </c>
      <c r="F146" s="65" t="b">
        <v>0</v>
      </c>
      <c r="G146" s="65" t="b">
        <v>1</v>
      </c>
      <c r="H146" s="71" t="s">
        <v>318</v>
      </c>
      <c r="I146" s="35">
        <f t="shared" si="16"/>
        <v>0.2</v>
      </c>
      <c r="J146" s="36" t="str">
        <f t="shared" si="17"/>
        <v>Não</v>
      </c>
    </row>
    <row r="147" spans="1:10" ht="30" x14ac:dyDescent="0.25">
      <c r="A147" s="69" t="s">
        <v>304</v>
      </c>
      <c r="B147" s="70" t="s">
        <v>290</v>
      </c>
      <c r="C147" s="65" t="b">
        <v>0</v>
      </c>
      <c r="D147" s="65" t="b">
        <v>0</v>
      </c>
      <c r="E147" s="65" t="b">
        <v>0</v>
      </c>
      <c r="F147" s="65" t="b">
        <v>0</v>
      </c>
      <c r="G147" s="65" t="b">
        <v>1</v>
      </c>
      <c r="H147" s="71" t="s">
        <v>310</v>
      </c>
      <c r="I147" s="35">
        <f t="shared" si="16"/>
        <v>0.2</v>
      </c>
      <c r="J147" s="36" t="str">
        <f t="shared" si="17"/>
        <v>Não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2026-03-30T18:58:36Z</dcterms:created>
  <dcterms:modified xsi:type="dcterms:W3CDTF">2026-04-06T18:46:34Z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2026-03-30T18:58:44Z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abcc49c8-9438-40b0-817d-2854aa8782d8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